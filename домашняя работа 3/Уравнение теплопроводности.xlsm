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SSAU\5 семестр\МСС\"/>
    </mc:Choice>
  </mc:AlternateContent>
  <xr:revisionPtr revIDLastSave="0" documentId="13_ncr:1_{F5FF4B93-3111-4BA6-9709-19F2B516BAB3}" xr6:coauthVersionLast="47" xr6:coauthVersionMax="47" xr10:uidLastSave="{00000000-0000-0000-0000-000000000000}"/>
  <bookViews>
    <workbookView xWindow="-120" yWindow="-120" windowWidth="29040" windowHeight="15840" activeTab="3" xr2:uid="{3F025F98-E8FA-463E-B119-B15D64B7F0B2}"/>
  </bookViews>
  <sheets>
    <sheet name="Явная схема ГУ 1" sheetId="2" r:id="rId1"/>
    <sheet name="Явная схема ГУ 2" sheetId="1" r:id="rId2"/>
    <sheet name="Явная схема ГУ 3" sheetId="3" r:id="rId3"/>
    <sheet name="Неявная схема ГУ 1" sheetId="4" r:id="rId4"/>
  </sheet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0" i="4" l="1"/>
  <c r="B21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AD19" i="4"/>
  <c r="AE19" i="4"/>
  <c r="AF19" i="4"/>
  <c r="AG19" i="4"/>
  <c r="AH14" i="4"/>
  <c r="D18" i="4"/>
  <c r="D19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B19" i="4"/>
  <c r="AH12" i="4"/>
  <c r="D12" i="4"/>
  <c r="B2" i="4"/>
  <c r="E11" i="4" s="1"/>
  <c r="F11" i="4" s="1"/>
  <c r="G11" i="4" s="1"/>
  <c r="H11" i="4" s="1"/>
  <c r="I11" i="4" s="1"/>
  <c r="J11" i="4" s="1"/>
  <c r="K11" i="4" s="1"/>
  <c r="L11" i="4" s="1"/>
  <c r="M11" i="4" s="1"/>
  <c r="N11" i="4" s="1"/>
  <c r="O11" i="4" s="1"/>
  <c r="P11" i="4" s="1"/>
  <c r="Q11" i="4" s="1"/>
  <c r="R11" i="4" s="1"/>
  <c r="S11" i="4" s="1"/>
  <c r="T11" i="4" s="1"/>
  <c r="U11" i="4" s="1"/>
  <c r="V11" i="4" s="1"/>
  <c r="W11" i="4" s="1"/>
  <c r="X11" i="4" s="1"/>
  <c r="Y11" i="4" s="1"/>
  <c r="Z11" i="4" s="1"/>
  <c r="AA11" i="4" s="1"/>
  <c r="AB11" i="4" s="1"/>
  <c r="AC11" i="4" s="1"/>
  <c r="AD11" i="4" s="1"/>
  <c r="AE11" i="4" s="1"/>
  <c r="AF11" i="4" s="1"/>
  <c r="AG11" i="4" s="1"/>
  <c r="AH11" i="4" s="1"/>
  <c r="F15" i="1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 s="1"/>
  <c r="E12" i="3"/>
  <c r="D12" i="3"/>
  <c r="E17" i="4" l="1"/>
  <c r="F17" i="4" s="1"/>
  <c r="G17" i="4" s="1"/>
  <c r="H17" i="4" s="1"/>
  <c r="I17" i="4" s="1"/>
  <c r="J17" i="4" s="1"/>
  <c r="K17" i="4" s="1"/>
  <c r="L17" i="4" s="1"/>
  <c r="M17" i="4" s="1"/>
  <c r="N17" i="4" s="1"/>
  <c r="O17" i="4" s="1"/>
  <c r="P17" i="4" s="1"/>
  <c r="Q17" i="4" s="1"/>
  <c r="R17" i="4" s="1"/>
  <c r="S17" i="4" s="1"/>
  <c r="T17" i="4" s="1"/>
  <c r="U17" i="4" s="1"/>
  <c r="V17" i="4" s="1"/>
  <c r="W17" i="4" s="1"/>
  <c r="X17" i="4" s="1"/>
  <c r="Y17" i="4" s="1"/>
  <c r="Z17" i="4" s="1"/>
  <c r="AA17" i="4" s="1"/>
  <c r="AB17" i="4" s="1"/>
  <c r="AC17" i="4" s="1"/>
  <c r="AD17" i="4" s="1"/>
  <c r="AE17" i="4" s="1"/>
  <c r="AF17" i="4" s="1"/>
  <c r="AG17" i="4" s="1"/>
  <c r="E18" i="4"/>
  <c r="B3" i="4"/>
  <c r="E15" i="1"/>
  <c r="F18" i="4" l="1"/>
  <c r="G18" i="4" s="1"/>
  <c r="H18" i="4" s="1"/>
  <c r="I18" i="4" s="1"/>
  <c r="J18" i="4" s="1"/>
  <c r="K18" i="4" s="1"/>
  <c r="L18" i="4" s="1"/>
  <c r="M18" i="4" s="1"/>
  <c r="N18" i="4" s="1"/>
  <c r="O18" i="4" s="1"/>
  <c r="P18" i="4" s="1"/>
  <c r="Q18" i="4" s="1"/>
  <c r="R18" i="4" s="1"/>
  <c r="S18" i="4" s="1"/>
  <c r="T18" i="4" s="1"/>
  <c r="U18" i="4" s="1"/>
  <c r="V18" i="4" s="1"/>
  <c r="W18" i="4" s="1"/>
  <c r="X18" i="4" s="1"/>
  <c r="Y18" i="4" s="1"/>
  <c r="Z18" i="4" s="1"/>
  <c r="AA18" i="4" s="1"/>
  <c r="AB18" i="4" s="1"/>
  <c r="AC18" i="4" s="1"/>
  <c r="AD18" i="4" s="1"/>
  <c r="AE18" i="4" s="1"/>
  <c r="AF18" i="4" s="1"/>
  <c r="AG18" i="4" s="1"/>
  <c r="AG14" i="4" s="1"/>
  <c r="AF14" i="4" s="1"/>
  <c r="AE14" i="4" s="1"/>
  <c r="AD14" i="4" s="1"/>
  <c r="AC14" i="4" s="1"/>
  <c r="AB14" i="4" s="1"/>
  <c r="AA14" i="4" s="1"/>
  <c r="Z14" i="4" s="1"/>
  <c r="Y14" i="4" s="1"/>
  <c r="X14" i="4" s="1"/>
  <c r="W14" i="4" s="1"/>
  <c r="V14" i="4" s="1"/>
  <c r="U14" i="4" s="1"/>
  <c r="T14" i="4" s="1"/>
  <c r="S14" i="4" s="1"/>
  <c r="R14" i="4" s="1"/>
  <c r="Q14" i="4" s="1"/>
  <c r="P14" i="4" s="1"/>
  <c r="O14" i="4" s="1"/>
  <c r="N14" i="4" s="1"/>
  <c r="M14" i="4" s="1"/>
  <c r="L14" i="4" s="1"/>
  <c r="K14" i="4" s="1"/>
  <c r="J14" i="4" s="1"/>
  <c r="I14" i="4" s="1"/>
  <c r="H14" i="4" s="1"/>
  <c r="G14" i="4" s="1"/>
  <c r="F14" i="4" s="1"/>
  <c r="E14" i="4" s="1"/>
  <c r="E14" i="2"/>
  <c r="AH12" i="1"/>
  <c r="B2" i="3"/>
  <c r="D12" i="2"/>
  <c r="E11" i="3" l="1"/>
  <c r="F11" i="3" s="1"/>
  <c r="G11" i="3" s="1"/>
  <c r="H11" i="3" s="1"/>
  <c r="I11" i="3" s="1"/>
  <c r="J11" i="3" s="1"/>
  <c r="K11" i="3" s="1"/>
  <c r="L11" i="3" s="1"/>
  <c r="M11" i="3" s="1"/>
  <c r="N11" i="3" s="1"/>
  <c r="O11" i="3" s="1"/>
  <c r="P11" i="3" s="1"/>
  <c r="Q11" i="3" s="1"/>
  <c r="R11" i="3" s="1"/>
  <c r="S11" i="3" s="1"/>
  <c r="T11" i="3" s="1"/>
  <c r="U11" i="3" s="1"/>
  <c r="V11" i="3" s="1"/>
  <c r="W11" i="3" s="1"/>
  <c r="X11" i="3" s="1"/>
  <c r="Y11" i="3" s="1"/>
  <c r="Z11" i="3" s="1"/>
  <c r="AA11" i="3" s="1"/>
  <c r="AB11" i="3" s="1"/>
  <c r="AC11" i="3" s="1"/>
  <c r="AD11" i="3" s="1"/>
  <c r="AE11" i="3" s="1"/>
  <c r="AF11" i="3" s="1"/>
  <c r="AG11" i="3" s="1"/>
  <c r="AH11" i="3" s="1"/>
  <c r="B3" i="3"/>
  <c r="AH12" i="2"/>
  <c r="B2" i="2"/>
  <c r="J14" i="3" l="1"/>
  <c r="V14" i="3"/>
  <c r="W14" i="3"/>
  <c r="L14" i="3"/>
  <c r="X14" i="3"/>
  <c r="M14" i="3"/>
  <c r="Y14" i="3"/>
  <c r="AC14" i="3"/>
  <c r="R14" i="3"/>
  <c r="AE14" i="3"/>
  <c r="I14" i="3"/>
  <c r="K14" i="3"/>
  <c r="N14" i="3"/>
  <c r="Z14" i="3"/>
  <c r="O14" i="3"/>
  <c r="AA14" i="3"/>
  <c r="AB14" i="3"/>
  <c r="E14" i="3"/>
  <c r="Q14" i="3"/>
  <c r="F14" i="3"/>
  <c r="AD14" i="3"/>
  <c r="S14" i="3"/>
  <c r="T14" i="3"/>
  <c r="U14" i="3"/>
  <c r="P14" i="3"/>
  <c r="G14" i="3"/>
  <c r="H14" i="3"/>
  <c r="AF14" i="3"/>
  <c r="AG14" i="3"/>
  <c r="B3" i="2"/>
  <c r="E11" i="2"/>
  <c r="F11" i="2" s="1"/>
  <c r="G11" i="2" s="1"/>
  <c r="H11" i="2" s="1"/>
  <c r="I11" i="2" s="1"/>
  <c r="J11" i="2" s="1"/>
  <c r="K11" i="2" s="1"/>
  <c r="L11" i="2" s="1"/>
  <c r="M11" i="2" s="1"/>
  <c r="N11" i="2" s="1"/>
  <c r="O11" i="2" s="1"/>
  <c r="P11" i="2" s="1"/>
  <c r="Q11" i="2" s="1"/>
  <c r="R11" i="2" s="1"/>
  <c r="S11" i="2" s="1"/>
  <c r="T11" i="2" s="1"/>
  <c r="U11" i="2" s="1"/>
  <c r="V11" i="2" s="1"/>
  <c r="W11" i="2" s="1"/>
  <c r="X11" i="2" s="1"/>
  <c r="Y11" i="2" s="1"/>
  <c r="Z11" i="2" s="1"/>
  <c r="AA11" i="2" s="1"/>
  <c r="AB11" i="2" s="1"/>
  <c r="AC11" i="2" s="1"/>
  <c r="AD11" i="2" s="1"/>
  <c r="AE11" i="2" s="1"/>
  <c r="AF11" i="2" s="1"/>
  <c r="AG11" i="2" s="1"/>
  <c r="AH11" i="2" s="1"/>
  <c r="D15" i="1"/>
  <c r="D12" i="1" s="1"/>
  <c r="V14" i="2" l="1"/>
  <c r="AG14" i="2"/>
  <c r="U14" i="2"/>
  <c r="I14" i="2"/>
  <c r="T14" i="2"/>
  <c r="H14" i="2"/>
  <c r="AE14" i="2"/>
  <c r="S14" i="2"/>
  <c r="G14" i="2"/>
  <c r="AD14" i="2"/>
  <c r="R14" i="2"/>
  <c r="F14" i="2"/>
  <c r="AC14" i="2"/>
  <c r="Z14" i="2"/>
  <c r="N14" i="2"/>
  <c r="M14" i="2"/>
  <c r="L14" i="2"/>
  <c r="W14" i="2"/>
  <c r="AF14" i="2"/>
  <c r="Q14" i="2"/>
  <c r="AB14" i="2"/>
  <c r="P14" i="2"/>
  <c r="AA14" i="2"/>
  <c r="O14" i="2"/>
  <c r="Y14" i="2"/>
  <c r="X14" i="2"/>
  <c r="K14" i="2"/>
  <c r="J14" i="2"/>
  <c r="B2" i="1"/>
  <c r="E11" i="1" l="1"/>
  <c r="F11" i="1" s="1"/>
  <c r="G11" i="1" s="1"/>
  <c r="H11" i="1" s="1"/>
  <c r="I11" i="1" s="1"/>
  <c r="J11" i="1" s="1"/>
  <c r="K11" i="1" s="1"/>
  <c r="L11" i="1" s="1"/>
  <c r="M11" i="1" s="1"/>
  <c r="N11" i="1" s="1"/>
  <c r="O11" i="1" s="1"/>
  <c r="P11" i="1" s="1"/>
  <c r="Q11" i="1" s="1"/>
  <c r="R11" i="1" s="1"/>
  <c r="S11" i="1" s="1"/>
  <c r="T11" i="1" s="1"/>
  <c r="U11" i="1" s="1"/>
  <c r="V11" i="1" s="1"/>
  <c r="W11" i="1" s="1"/>
  <c r="X11" i="1" s="1"/>
  <c r="Y11" i="1" s="1"/>
  <c r="Z11" i="1" s="1"/>
  <c r="AA11" i="1" s="1"/>
  <c r="AB11" i="1" s="1"/>
  <c r="AC11" i="1" s="1"/>
  <c r="AD11" i="1" s="1"/>
  <c r="AE11" i="1" s="1"/>
  <c r="AF11" i="1" s="1"/>
  <c r="AG11" i="1" s="1"/>
  <c r="AH11" i="1" s="1"/>
  <c r="G15" i="1"/>
  <c r="H15" i="1"/>
  <c r="I15" i="1"/>
  <c r="J15" i="1"/>
  <c r="V15" i="1"/>
  <c r="M15" i="1"/>
  <c r="AA15" i="1"/>
  <c r="AB15" i="1"/>
  <c r="AC15" i="1"/>
  <c r="R15" i="1"/>
  <c r="S15" i="1"/>
  <c r="AF15" i="1"/>
  <c r="K15" i="1"/>
  <c r="W15" i="1"/>
  <c r="L15" i="1"/>
  <c r="X15" i="1"/>
  <c r="Y15" i="1"/>
  <c r="Z15" i="1"/>
  <c r="O15" i="1"/>
  <c r="P15" i="1"/>
  <c r="Q15" i="1"/>
  <c r="AD15" i="1"/>
  <c r="T15" i="1"/>
  <c r="AG15" i="1"/>
  <c r="N15" i="1"/>
  <c r="AE15" i="1"/>
  <c r="U15" i="1"/>
  <c r="B3" i="1"/>
  <c r="P14" i="1" l="1"/>
  <c r="AB14" i="1"/>
  <c r="Q14" i="1"/>
  <c r="AC14" i="1"/>
  <c r="F14" i="1"/>
  <c r="R14" i="1"/>
  <c r="AD14" i="1"/>
  <c r="S14" i="1"/>
  <c r="AE14" i="1"/>
  <c r="H14" i="1"/>
  <c r="V14" i="1"/>
  <c r="M14" i="1"/>
  <c r="N14" i="1"/>
  <c r="G14" i="1"/>
  <c r="T14" i="1"/>
  <c r="I14" i="1"/>
  <c r="U14" i="1"/>
  <c r="AG14" i="1"/>
  <c r="J14" i="1"/>
  <c r="Y14" i="1"/>
  <c r="Z14" i="1"/>
  <c r="AA14" i="1"/>
  <c r="AF14" i="1"/>
  <c r="X14" i="1"/>
  <c r="O14" i="1"/>
  <c r="W14" i="1"/>
  <c r="L14" i="1"/>
  <c r="K14" i="1"/>
  <c r="E14" i="1"/>
</calcChain>
</file>

<file path=xl/sharedStrings.xml><?xml version="1.0" encoding="utf-8"?>
<sst xmlns="http://schemas.openxmlformats.org/spreadsheetml/2006/main" count="59" uniqueCount="23">
  <si>
    <t>L</t>
  </si>
  <si>
    <t>dx</t>
  </si>
  <si>
    <t>dt</t>
  </si>
  <si>
    <t>t</t>
  </si>
  <si>
    <t>T</t>
  </si>
  <si>
    <t>T_iter</t>
  </si>
  <si>
    <t>q</t>
  </si>
  <si>
    <r>
      <t>C</t>
    </r>
    <r>
      <rPr>
        <vertAlign val="subscript"/>
        <sz val="14"/>
        <color theme="1"/>
        <rFont val="Times New Roman"/>
        <family val="1"/>
        <charset val="204"/>
      </rPr>
      <t>p</t>
    </r>
  </si>
  <si>
    <r>
      <t>T</t>
    </r>
    <r>
      <rPr>
        <vertAlign val="subscript"/>
        <sz val="14"/>
        <color theme="1"/>
        <rFont val="Times New Roman"/>
        <family val="1"/>
        <charset val="204"/>
      </rPr>
      <t>start</t>
    </r>
  </si>
  <si>
    <r>
      <t>T</t>
    </r>
    <r>
      <rPr>
        <vertAlign val="subscript"/>
        <sz val="14"/>
        <color theme="1"/>
        <rFont val="Times New Roman"/>
        <family val="1"/>
        <charset val="204"/>
      </rPr>
      <t>end</t>
    </r>
  </si>
  <si>
    <r>
      <t>q</t>
    </r>
    <r>
      <rPr>
        <vertAlign val="subscript"/>
        <sz val="14"/>
        <color theme="1"/>
        <rFont val="Times New Roman"/>
        <family val="1"/>
        <charset val="204"/>
      </rPr>
      <t>start</t>
    </r>
  </si>
  <si>
    <r>
      <t>ρ</t>
    </r>
    <r>
      <rPr>
        <vertAlign val="subscript"/>
        <sz val="14"/>
        <color theme="1"/>
        <rFont val="Times New Roman"/>
        <family val="1"/>
        <charset val="204"/>
      </rPr>
      <t>0</t>
    </r>
  </si>
  <si>
    <t>λ</t>
  </si>
  <si>
    <r>
      <t>T</t>
    </r>
    <r>
      <rPr>
        <vertAlign val="superscript"/>
        <sz val="14"/>
        <color theme="1"/>
        <rFont val="Times New Roman"/>
        <family val="1"/>
        <charset val="204"/>
      </rPr>
      <t>e1</t>
    </r>
  </si>
  <si>
    <r>
      <t>κ</t>
    </r>
    <r>
      <rPr>
        <vertAlign val="subscript"/>
        <sz val="14"/>
        <color theme="1"/>
        <rFont val="Times New Roman"/>
        <family val="1"/>
        <charset val="204"/>
      </rPr>
      <t>1</t>
    </r>
  </si>
  <si>
    <r>
      <t>κ</t>
    </r>
    <r>
      <rPr>
        <vertAlign val="subscript"/>
        <sz val="14"/>
        <color theme="1"/>
        <rFont val="Times New Roman"/>
        <family val="1"/>
        <charset val="204"/>
      </rPr>
      <t>2</t>
    </r>
  </si>
  <si>
    <r>
      <t>T</t>
    </r>
    <r>
      <rPr>
        <vertAlign val="superscript"/>
        <sz val="14"/>
        <color theme="1"/>
        <rFont val="Times New Roman"/>
        <family val="1"/>
        <charset val="204"/>
      </rPr>
      <t>e2</t>
    </r>
  </si>
  <si>
    <t>A</t>
  </si>
  <si>
    <t>B</t>
  </si>
  <si>
    <t>C</t>
  </si>
  <si>
    <t>α</t>
  </si>
  <si>
    <t>β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</si>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</sst>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 x14ac:knownFonts="1">
    <font>
      <sz val="11"/>
      <color theme="1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  <font>
      <vertAlign val="subscript"/>
      <sz val="14"/>
      <color theme="1"/>
      <name val="Times New Roman"/>
      <family val="1"/>
      <charset val="204"/>
    </font>
    <font>
      <vertAlign val="superscript"/>
      <sz val="14"/>
      <color theme="1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'Явная схема ГУ 1'!$D$11:$AH$11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 ГУ 1'!$D$12:$AH$12</c:f>
              <c:numCache>
                <c:formatCode>0.00</c:formatCode>
                <c:ptCount val="31"/>
                <c:pt idx="0" formatCode="General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 formatCode="General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8D0-4FA8-A1A1-D92B347C09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060960"/>
        <c:axId val="567061944"/>
      </c:scatterChart>
      <c:valAx>
        <c:axId val="56706096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67061944"/>
        <c:crosses val="autoZero"/>
        <c:crossBetween val="midCat"/>
      </c:valAx>
      <c:valAx>
        <c:axId val="5670619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67060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'Явная схема ГУ 2'!$D$11:$AH$11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 ГУ 2'!$D$12:$AH$12</c:f>
              <c:numCache>
                <c:formatCode>0.00</c:formatCode>
                <c:ptCount val="31"/>
                <c:pt idx="0" formatCode="General">
                  <c:v>299.99997763108735</c:v>
                </c:pt>
                <c:pt idx="1">
                  <c:v>293.33331096442066</c:v>
                </c:pt>
                <c:pt idx="2">
                  <c:v>286.6666443611611</c:v>
                </c:pt>
                <c:pt idx="3">
                  <c:v>279.99997782112894</c:v>
                </c:pt>
                <c:pt idx="4">
                  <c:v>273.33331134396514</c:v>
                </c:pt>
                <c:pt idx="5">
                  <c:v>266.66664492913264</c:v>
                </c:pt>
                <c:pt idx="6">
                  <c:v>259.99997857591751</c:v>
                </c:pt>
                <c:pt idx="7">
                  <c:v>253.3333122834313</c:v>
                </c:pt>
                <c:pt idx="8">
                  <c:v>246.66664605061328</c:v>
                </c:pt>
                <c:pt idx="9">
                  <c:v>239.99997987623377</c:v>
                </c:pt>
                <c:pt idx="10">
                  <c:v>233.33331375889719</c:v>
                </c:pt>
                <c:pt idx="11">
                  <c:v>226.66664769704656</c:v>
                </c:pt>
                <c:pt idx="12">
                  <c:v>219.9999816889673</c:v>
                </c:pt>
                <c:pt idx="13">
                  <c:v>213.33331573279273</c:v>
                </c:pt>
                <c:pt idx="14">
                  <c:v>206.66664982650872</c:v>
                </c:pt>
                <c:pt idx="15">
                  <c:v>199.99998396796005</c:v>
                </c:pt>
                <c:pt idx="16">
                  <c:v>193.33331815485587</c:v>
                </c:pt>
                <c:pt idx="17">
                  <c:v>186.6666523847768</c:v>
                </c:pt>
                <c:pt idx="18">
                  <c:v>179.99998665518126</c:v>
                </c:pt>
                <c:pt idx="19">
                  <c:v>173.33332096341309</c:v>
                </c:pt>
                <c:pt idx="20">
                  <c:v>166.66665530670878</c:v>
                </c:pt>
                <c:pt idx="21">
                  <c:v>159.9999896822055</c:v>
                </c:pt>
                <c:pt idx="22">
                  <c:v>153.33332408694912</c:v>
                </c:pt>
                <c:pt idx="23">
                  <c:v>146.66665851790265</c:v>
                </c:pt>
                <c:pt idx="24">
                  <c:v>139.99999297195473</c:v>
                </c:pt>
                <c:pt idx="25">
                  <c:v>133.33332744592857</c:v>
                </c:pt>
                <c:pt idx="26">
                  <c:v>126.66666193659087</c:v>
                </c:pt>
                <c:pt idx="27">
                  <c:v>119.99999644066111</c:v>
                </c:pt>
                <c:pt idx="28">
                  <c:v>113.3333309548207</c:v>
                </c:pt>
                <c:pt idx="29">
                  <c:v>106.66666547572241</c:v>
                </c:pt>
                <c:pt idx="30" formatCode="General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B9-47D8-B5F9-1B493FDB4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060960"/>
        <c:axId val="567061944"/>
      </c:scatterChart>
      <c:valAx>
        <c:axId val="56706096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67061944"/>
        <c:crosses val="autoZero"/>
        <c:crossBetween val="midCat"/>
      </c:valAx>
      <c:valAx>
        <c:axId val="5670619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67060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'Явная схема ГУ 3'!$D$11:$AH$11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</c:numCache>
            </c:numRef>
          </c:xVal>
          <c:yVal>
            <c:numRef>
              <c:f>'Явная схема ГУ 3'!$D$12:$AH$12</c:f>
              <c:numCache>
                <c:formatCode>0.00</c:formatCode>
                <c:ptCount val="31"/>
                <c:pt idx="0" formatCode="General">
                  <c:v>48.019801980198018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  <c:pt idx="25">
                  <c:v>50</c:v>
                </c:pt>
                <c:pt idx="26">
                  <c:v>50</c:v>
                </c:pt>
                <c:pt idx="27">
                  <c:v>50</c:v>
                </c:pt>
                <c:pt idx="28">
                  <c:v>50</c:v>
                </c:pt>
                <c:pt idx="29">
                  <c:v>50</c:v>
                </c:pt>
                <c:pt idx="30" formatCode="General">
                  <c:v>50.771208226221077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D2-4167-8A55-F9487418F0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060960"/>
        <c:axId val="567061944"/>
      </c:scatterChart>
      <c:valAx>
        <c:axId val="567060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67061944"/>
        <c:crosses val="autoZero"/>
        <c:crossBetween val="midCat"/>
      </c:valAx>
      <c:valAx>
        <c:axId val="567061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67060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Неявная схема</c:v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'Неявная схема ГУ 1'!$D$11:$AH$11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 ГУ 1'!$D$12:$AH$12</c:f>
              <c:numCache>
                <c:formatCode>0.00</c:formatCode>
                <c:ptCount val="31"/>
                <c:pt idx="0" formatCode="General">
                  <c:v>300</c:v>
                </c:pt>
                <c:pt idx="1">
                  <c:v>280.20114262798575</c:v>
                </c:pt>
                <c:pt idx="2">
                  <c:v>260.57053452366904</c:v>
                </c:pt>
                <c:pt idx="3">
                  <c:v>241.27335396752636</c:v>
                </c:pt>
                <c:pt idx="4">
                  <c:v>222.46874067679317</c:v>
                </c:pt>
                <c:pt idx="5">
                  <c:v>204.30702925674697</c:v>
                </c:pt>
                <c:pt idx="6">
                  <c:v>186.92727013670742</c:v>
                </c:pt>
                <c:pt idx="7">
                  <c:v>170.45510875086381</c:v>
                </c:pt>
                <c:pt idx="8">
                  <c:v>155.00107463428773</c:v>
                </c:pt>
                <c:pt idx="9">
                  <c:v>140.65931099015722</c:v>
                </c:pt>
                <c:pt idx="10">
                  <c:v>127.5067536180474</c:v>
                </c:pt>
                <c:pt idx="11">
                  <c:v>115.60274732960713</c:v>
                </c:pt>
                <c:pt idx="12">
                  <c:v>104.98906943559072</c:v>
                </c:pt>
                <c:pt idx="13">
                  <c:v>95.690314648076594</c:v>
                </c:pt>
                <c:pt idx="14">
                  <c:v>87.714584570723446</c:v>
                </c:pt>
                <c:pt idx="15">
                  <c:v>81.054418255410752</c:v>
                </c:pt>
                <c:pt idx="16">
                  <c:v>75.68789812172092</c:v>
                </c:pt>
                <c:pt idx="17">
                  <c:v>71.579867553261167</c:v>
                </c:pt>
                <c:pt idx="18">
                  <c:v>68.68320209085141</c:v>
                </c:pt>
                <c:pt idx="19">
                  <c:v>66.940084503407604</c:v>
                </c:pt>
                <c:pt idx="20">
                  <c:v>66.283244166503039</c:v>
                </c:pt>
                <c:pt idx="21">
                  <c:v>66.637132112902975</c:v>
                </c:pt>
                <c:pt idx="22">
                  <c:v>67.919013891339318</c:v>
                </c:pt>
                <c:pt idx="23">
                  <c:v>70.039972168091296</c:v>
                </c:pt>
                <c:pt idx="24">
                  <c:v>72.905819217013814</c:v>
                </c:pt>
                <c:pt idx="25">
                  <c:v>76.417925689672472</c:v>
                </c:pt>
                <c:pt idx="26">
                  <c:v>80.473976208137344</c:v>
                </c:pt>
                <c:pt idx="27">
                  <c:v>84.968664482862408</c:v>
                </c:pt>
                <c:pt idx="28">
                  <c:v>89.794341128753075</c:v>
                </c:pt>
                <c:pt idx="29">
                  <c:v>94.841626578966242</c:v>
                </c:pt>
                <c:pt idx="30" formatCode="General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ACC-46FF-BE29-64CCE0890F7C}"/>
            </c:ext>
          </c:extLst>
        </c:ser>
        <c:ser>
          <c:idx val="1"/>
          <c:order val="1"/>
          <c:tx>
            <c:v>Явная схема</c:v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'Явная схема ГУ 1'!$D$11:$AH$11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 ГУ 1'!$D$12:$AH$12</c:f>
              <c:numCache>
                <c:formatCode>0.00</c:formatCode>
                <c:ptCount val="31"/>
                <c:pt idx="0" formatCode="General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 formatCode="General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ACC-46FF-BE29-64CCE0890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060960"/>
        <c:axId val="567061944"/>
      </c:scatterChart>
      <c:valAx>
        <c:axId val="56706096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67061944"/>
        <c:crosses val="autoZero"/>
        <c:crossBetween val="midCat"/>
      </c:valAx>
      <c:valAx>
        <c:axId val="5670619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67060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5952</xdr:colOff>
      <xdr:row>17</xdr:row>
      <xdr:rowOff>254793</xdr:rowOff>
    </xdr:from>
    <xdr:to>
      <xdr:col>11</xdr:col>
      <xdr:colOff>0</xdr:colOff>
      <xdr:row>41</xdr:row>
      <xdr:rowOff>145694</xdr:rowOff>
    </xdr:to>
    <xdr:grpSp>
      <xdr:nvGrpSpPr>
        <xdr:cNvPr id="2" name="Группа 1">
          <a:extLst>
            <a:ext uri="{FF2B5EF4-FFF2-40B4-BE49-F238E27FC236}">
              <a16:creationId xmlns:a16="http://schemas.microsoft.com/office/drawing/2014/main" id="{53A997E7-1B3B-4C16-820A-807360D06D2A}"/>
            </a:ext>
          </a:extLst>
        </xdr:cNvPr>
        <xdr:cNvGrpSpPr/>
      </xdr:nvGrpSpPr>
      <xdr:grpSpPr>
        <a:xfrm>
          <a:off x="1821305" y="4325890"/>
          <a:ext cx="4834989" cy="4840539"/>
          <a:chOff x="1867159" y="4887256"/>
          <a:chExt cx="4811289" cy="4735732"/>
        </a:xfrm>
      </xdr:grpSpPr>
      <xdr:graphicFrame macro="">
        <xdr:nvGraphicFramePr>
          <xdr:cNvPr id="3" name="Диаграмма 2">
            <a:extLst>
              <a:ext uri="{FF2B5EF4-FFF2-40B4-BE49-F238E27FC236}">
                <a16:creationId xmlns:a16="http://schemas.microsoft.com/office/drawing/2014/main" id="{5BF036DE-C51D-453D-8FFD-4914FA24C3DC}"/>
              </a:ext>
            </a:extLst>
          </xdr:cNvPr>
          <xdr:cNvGraphicFramePr/>
        </xdr:nvGraphicFramePr>
        <xdr:xfrm>
          <a:off x="1867159" y="4887256"/>
          <a:ext cx="4811289" cy="47357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4" name="TextBox 3">
                <a:extLst>
                  <a:ext uri="{FF2B5EF4-FFF2-40B4-BE49-F238E27FC236}">
                    <a16:creationId xmlns:a16="http://schemas.microsoft.com/office/drawing/2014/main" id="{9934C8E5-74B8-4A9C-BC12-43E6618AF748}"/>
                  </a:ext>
                </a:extLst>
              </xdr:cNvPr>
              <xdr:cNvSpPr txBox="1"/>
            </xdr:nvSpPr>
            <xdr:spPr>
              <a:xfrm>
                <a:off x="1939789" y="4965696"/>
                <a:ext cx="420115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𝑇</m:t>
                      </m:r>
                      <m:r>
                        <a:rPr lang="en-US" sz="1400" b="0" i="1">
                          <a:latin typeface="Cambria Math" panose="02040503050406030204" pitchFamily="18" charset="0"/>
                        </a:rPr>
                        <m:t>, ℃ </m:t>
                      </m:r>
                    </m:oMath>
                  </m:oMathPara>
                </a14:m>
                <a:endParaRPr lang="ru-RU" sz="1400"/>
              </a:p>
            </xdr:txBody>
          </xdr:sp>
        </mc:Choice>
        <mc:Fallback xmlns="">
          <xdr:sp macro="" textlink="">
            <xdr:nvSpPr>
              <xdr:cNvPr id="4" name="TextBox 3">
                <a:extLst>
                  <a:ext uri="{FF2B5EF4-FFF2-40B4-BE49-F238E27FC236}">
                    <a16:creationId xmlns:a16="http://schemas.microsoft.com/office/drawing/2014/main" id="{9934C8E5-74B8-4A9C-BC12-43E6618AF748}"/>
                  </a:ext>
                </a:extLst>
              </xdr:cNvPr>
              <xdr:cNvSpPr txBox="1"/>
            </xdr:nvSpPr>
            <xdr:spPr>
              <a:xfrm>
                <a:off x="1939789" y="4965696"/>
                <a:ext cx="420115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:r>
                  <a:rPr lang="en-US" sz="1400" b="0" i="0">
                    <a:latin typeface="Cambria Math" panose="02040503050406030204" pitchFamily="18" charset="0"/>
                  </a:rPr>
                  <a:t>𝑇, ℃ </a:t>
                </a:r>
                <a:endParaRPr lang="ru-RU" sz="1400"/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5" name="TextBox 4">
                <a:extLst>
                  <a:ext uri="{FF2B5EF4-FFF2-40B4-BE49-F238E27FC236}">
                    <a16:creationId xmlns:a16="http://schemas.microsoft.com/office/drawing/2014/main" id="{BC35B487-E2C3-495F-90BF-EB36DEDC1F58}"/>
                  </a:ext>
                </a:extLst>
              </xdr:cNvPr>
              <xdr:cNvSpPr txBox="1"/>
            </xdr:nvSpPr>
            <xdr:spPr>
              <a:xfrm>
                <a:off x="6212025" y="8553039"/>
                <a:ext cx="366832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𝐿</m:t>
                      </m:r>
                      <m:r>
                        <a:rPr lang="en-US" sz="1400" b="0" i="1">
                          <a:latin typeface="Cambria Math" panose="02040503050406030204" pitchFamily="18" charset="0"/>
                        </a:rPr>
                        <m:t>, м </m:t>
                      </m:r>
                    </m:oMath>
                  </m:oMathPara>
                </a14:m>
                <a:endParaRPr lang="ru-RU" sz="1400"/>
              </a:p>
            </xdr:txBody>
          </xdr:sp>
        </mc:Choice>
        <mc:Fallback xmlns="">
          <xdr:sp macro="" textlink="">
            <xdr:nvSpPr>
              <xdr:cNvPr id="5" name="TextBox 4">
                <a:extLst>
                  <a:ext uri="{FF2B5EF4-FFF2-40B4-BE49-F238E27FC236}">
                    <a16:creationId xmlns:a16="http://schemas.microsoft.com/office/drawing/2014/main" id="{BC35B487-E2C3-495F-90BF-EB36DEDC1F58}"/>
                  </a:ext>
                </a:extLst>
              </xdr:cNvPr>
              <xdr:cNvSpPr txBox="1"/>
            </xdr:nvSpPr>
            <xdr:spPr>
              <a:xfrm>
                <a:off x="6212025" y="8553039"/>
                <a:ext cx="366832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:r>
                  <a:rPr lang="en-US" sz="1400" b="0" i="0">
                    <a:latin typeface="Cambria Math" panose="02040503050406030204" pitchFamily="18" charset="0"/>
                  </a:rPr>
                  <a:t>𝐿, м </a:t>
                </a:r>
                <a:endParaRPr lang="ru-RU" sz="1400"/>
              </a:p>
            </xdr:txBody>
          </xdr:sp>
        </mc:Fallback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5952</xdr:colOff>
      <xdr:row>14</xdr:row>
      <xdr:rowOff>235743</xdr:rowOff>
    </xdr:from>
    <xdr:to>
      <xdr:col>11</xdr:col>
      <xdr:colOff>0</xdr:colOff>
      <xdr:row>37</xdr:row>
      <xdr:rowOff>88544</xdr:rowOff>
    </xdr:to>
    <xdr:grpSp>
      <xdr:nvGrpSpPr>
        <xdr:cNvPr id="6" name="Группа 5">
          <a:extLst>
            <a:ext uri="{FF2B5EF4-FFF2-40B4-BE49-F238E27FC236}">
              <a16:creationId xmlns:a16="http://schemas.microsoft.com/office/drawing/2014/main" id="{2CFABE66-0483-47C9-9ECC-7F22435C7291}"/>
            </a:ext>
          </a:extLst>
        </xdr:cNvPr>
        <xdr:cNvGrpSpPr/>
      </xdr:nvGrpSpPr>
      <xdr:grpSpPr>
        <a:xfrm>
          <a:off x="1854923" y="3575096"/>
          <a:ext cx="4834989" cy="4772183"/>
          <a:chOff x="1867159" y="4089536"/>
          <a:chExt cx="4811289" cy="4735732"/>
        </a:xfrm>
      </xdr:grpSpPr>
      <xdr:graphicFrame macro="">
        <xdr:nvGraphicFramePr>
          <xdr:cNvPr id="3" name="Диаграмма 2">
            <a:extLst>
              <a:ext uri="{FF2B5EF4-FFF2-40B4-BE49-F238E27FC236}">
                <a16:creationId xmlns:a16="http://schemas.microsoft.com/office/drawing/2014/main" id="{D07DB2AB-3150-46F8-837F-2AEB2897BC16}"/>
              </a:ext>
            </a:extLst>
          </xdr:cNvPr>
          <xdr:cNvGraphicFramePr/>
        </xdr:nvGraphicFramePr>
        <xdr:xfrm>
          <a:off x="1867159" y="4089536"/>
          <a:ext cx="4811289" cy="47357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4" name="TextBox 3">
                <a:extLst>
                  <a:ext uri="{FF2B5EF4-FFF2-40B4-BE49-F238E27FC236}">
                    <a16:creationId xmlns:a16="http://schemas.microsoft.com/office/drawing/2014/main" id="{8046CBE5-8E97-4D4B-BE41-ED771B1FEABB}"/>
                  </a:ext>
                </a:extLst>
              </xdr:cNvPr>
              <xdr:cNvSpPr txBox="1"/>
            </xdr:nvSpPr>
            <xdr:spPr>
              <a:xfrm>
                <a:off x="1939789" y="4149424"/>
                <a:ext cx="420115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𝑇</m:t>
                      </m:r>
                      <m:r>
                        <a:rPr lang="en-US" sz="1400" b="0" i="1">
                          <a:latin typeface="Cambria Math" panose="02040503050406030204" pitchFamily="18" charset="0"/>
                        </a:rPr>
                        <m:t>, ℃ </m:t>
                      </m:r>
                    </m:oMath>
                  </m:oMathPara>
                </a14:m>
                <a:endParaRPr lang="ru-RU" sz="1400"/>
              </a:p>
            </xdr:txBody>
          </xdr:sp>
        </mc:Choice>
        <mc:Fallback xmlns="">
          <xdr:sp macro="" textlink="">
            <xdr:nvSpPr>
              <xdr:cNvPr id="4" name="TextBox 3">
                <a:extLst>
                  <a:ext uri="{FF2B5EF4-FFF2-40B4-BE49-F238E27FC236}">
                    <a16:creationId xmlns:a16="http://schemas.microsoft.com/office/drawing/2014/main" id="{8046CBE5-8E97-4D4B-BE41-ED771B1FEABB}"/>
                  </a:ext>
                </a:extLst>
              </xdr:cNvPr>
              <xdr:cNvSpPr txBox="1"/>
            </xdr:nvSpPr>
            <xdr:spPr>
              <a:xfrm>
                <a:off x="1939789" y="4149424"/>
                <a:ext cx="420115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:r>
                  <a:rPr lang="en-US" sz="1400" b="0" i="0">
                    <a:latin typeface="Cambria Math" panose="02040503050406030204" pitchFamily="18" charset="0"/>
                  </a:rPr>
                  <a:t>𝑇, ℃ </a:t>
                </a:r>
                <a:endParaRPr lang="ru-RU" sz="1400"/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5" name="TextBox 4">
                <a:extLst>
                  <a:ext uri="{FF2B5EF4-FFF2-40B4-BE49-F238E27FC236}">
                    <a16:creationId xmlns:a16="http://schemas.microsoft.com/office/drawing/2014/main" id="{A8B81CBB-C7DD-4933-B531-07A0B752459E}"/>
                  </a:ext>
                </a:extLst>
              </xdr:cNvPr>
              <xdr:cNvSpPr txBox="1"/>
            </xdr:nvSpPr>
            <xdr:spPr>
              <a:xfrm>
                <a:off x="6212025" y="8553039"/>
                <a:ext cx="366832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𝐿</m:t>
                      </m:r>
                      <m:r>
                        <a:rPr lang="en-US" sz="1400" b="0" i="1">
                          <a:latin typeface="Cambria Math" panose="02040503050406030204" pitchFamily="18" charset="0"/>
                        </a:rPr>
                        <m:t>, м </m:t>
                      </m:r>
                    </m:oMath>
                  </m:oMathPara>
                </a14:m>
                <a:endParaRPr lang="ru-RU" sz="1400"/>
              </a:p>
            </xdr:txBody>
          </xdr:sp>
        </mc:Choice>
        <mc:Fallback xmlns="">
          <xdr:sp macro="" textlink="">
            <xdr:nvSpPr>
              <xdr:cNvPr id="5" name="TextBox 4">
                <a:extLst>
                  <a:ext uri="{FF2B5EF4-FFF2-40B4-BE49-F238E27FC236}">
                    <a16:creationId xmlns:a16="http://schemas.microsoft.com/office/drawing/2014/main" id="{A8B81CBB-C7DD-4933-B531-07A0B752459E}"/>
                  </a:ext>
                </a:extLst>
              </xdr:cNvPr>
              <xdr:cNvSpPr txBox="1"/>
            </xdr:nvSpPr>
            <xdr:spPr>
              <a:xfrm>
                <a:off x="6212025" y="8553039"/>
                <a:ext cx="366832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:r>
                  <a:rPr lang="en-US" sz="1400" b="0" i="0">
                    <a:latin typeface="Cambria Math" panose="02040503050406030204" pitchFamily="18" charset="0"/>
                  </a:rPr>
                  <a:t>𝐿, м </a:t>
                </a:r>
                <a:endParaRPr lang="ru-RU" sz="1400"/>
              </a:p>
            </xdr:txBody>
          </xdr:sp>
        </mc:Fallback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599864</xdr:colOff>
      <xdr:row>16</xdr:row>
      <xdr:rowOff>255354</xdr:rowOff>
    </xdr:from>
    <xdr:to>
      <xdr:col>10</xdr:col>
      <xdr:colOff>593912</xdr:colOff>
      <xdr:row>40</xdr:row>
      <xdr:rowOff>10103</xdr:rowOff>
    </xdr:to>
    <xdr:grpSp>
      <xdr:nvGrpSpPr>
        <xdr:cNvPr id="6" name="Группа 5">
          <a:extLst>
            <a:ext uri="{FF2B5EF4-FFF2-40B4-BE49-F238E27FC236}">
              <a16:creationId xmlns:a16="http://schemas.microsoft.com/office/drawing/2014/main" id="{A14B6F36-A714-466E-A652-EC0555B69401}"/>
            </a:ext>
          </a:extLst>
        </xdr:cNvPr>
        <xdr:cNvGrpSpPr/>
      </xdr:nvGrpSpPr>
      <xdr:grpSpPr>
        <a:xfrm>
          <a:off x="1810099" y="4222236"/>
          <a:ext cx="4834989" cy="4797396"/>
          <a:chOff x="1867159" y="4089536"/>
          <a:chExt cx="4811289" cy="4735732"/>
        </a:xfrm>
      </xdr:grpSpPr>
      <xdr:graphicFrame macro="">
        <xdr:nvGraphicFramePr>
          <xdr:cNvPr id="7" name="Диаграмма 6">
            <a:extLst>
              <a:ext uri="{FF2B5EF4-FFF2-40B4-BE49-F238E27FC236}">
                <a16:creationId xmlns:a16="http://schemas.microsoft.com/office/drawing/2014/main" id="{F7804E30-A5AF-4F95-9940-0867A636DFDE}"/>
              </a:ext>
            </a:extLst>
          </xdr:cNvPr>
          <xdr:cNvGraphicFramePr/>
        </xdr:nvGraphicFramePr>
        <xdr:xfrm>
          <a:off x="1867159" y="4089536"/>
          <a:ext cx="4811289" cy="47357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8" name="TextBox 7">
                <a:extLst>
                  <a:ext uri="{FF2B5EF4-FFF2-40B4-BE49-F238E27FC236}">
                    <a16:creationId xmlns:a16="http://schemas.microsoft.com/office/drawing/2014/main" id="{7B39542E-5F22-4145-8565-F1E6B9E6784B}"/>
                  </a:ext>
                </a:extLst>
              </xdr:cNvPr>
              <xdr:cNvSpPr txBox="1"/>
            </xdr:nvSpPr>
            <xdr:spPr>
              <a:xfrm>
                <a:off x="1939789" y="4149424"/>
                <a:ext cx="420115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𝑇</m:t>
                      </m:r>
                      <m:r>
                        <a:rPr lang="en-US" sz="1400" b="0" i="1">
                          <a:latin typeface="Cambria Math" panose="02040503050406030204" pitchFamily="18" charset="0"/>
                        </a:rPr>
                        <m:t>, ℃ </m:t>
                      </m:r>
                    </m:oMath>
                  </m:oMathPara>
                </a14:m>
                <a:endParaRPr lang="ru-RU" sz="1400"/>
              </a:p>
            </xdr:txBody>
          </xdr:sp>
        </mc:Choice>
        <mc:Fallback xmlns="">
          <xdr:sp macro="" textlink="">
            <xdr:nvSpPr>
              <xdr:cNvPr id="8" name="TextBox 7">
                <a:extLst>
                  <a:ext uri="{FF2B5EF4-FFF2-40B4-BE49-F238E27FC236}">
                    <a16:creationId xmlns:a16="http://schemas.microsoft.com/office/drawing/2014/main" id="{7B39542E-5F22-4145-8565-F1E6B9E6784B}"/>
                  </a:ext>
                </a:extLst>
              </xdr:cNvPr>
              <xdr:cNvSpPr txBox="1"/>
            </xdr:nvSpPr>
            <xdr:spPr>
              <a:xfrm>
                <a:off x="1939789" y="4149424"/>
                <a:ext cx="420115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:r>
                  <a:rPr lang="en-US" sz="1400" b="0" i="0">
                    <a:latin typeface="Cambria Math" panose="02040503050406030204" pitchFamily="18" charset="0"/>
                  </a:rPr>
                  <a:t>𝑇, ℃ </a:t>
                </a:r>
                <a:endParaRPr lang="ru-RU" sz="1400"/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9" name="TextBox 8">
                <a:extLst>
                  <a:ext uri="{FF2B5EF4-FFF2-40B4-BE49-F238E27FC236}">
                    <a16:creationId xmlns:a16="http://schemas.microsoft.com/office/drawing/2014/main" id="{4B7FCFAF-5283-493C-A8A1-A73BBE36A6D3}"/>
                  </a:ext>
                </a:extLst>
              </xdr:cNvPr>
              <xdr:cNvSpPr txBox="1"/>
            </xdr:nvSpPr>
            <xdr:spPr>
              <a:xfrm>
                <a:off x="6212025" y="8553039"/>
                <a:ext cx="366832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𝐿</m:t>
                      </m:r>
                      <m:r>
                        <a:rPr lang="en-US" sz="1400" b="0" i="1">
                          <a:latin typeface="Cambria Math" panose="02040503050406030204" pitchFamily="18" charset="0"/>
                        </a:rPr>
                        <m:t>, м </m:t>
                      </m:r>
                    </m:oMath>
                  </m:oMathPara>
                </a14:m>
                <a:endParaRPr lang="ru-RU" sz="1400"/>
              </a:p>
            </xdr:txBody>
          </xdr:sp>
        </mc:Choice>
        <mc:Fallback xmlns="">
          <xdr:sp macro="" textlink="">
            <xdr:nvSpPr>
              <xdr:cNvPr id="9" name="TextBox 8">
                <a:extLst>
                  <a:ext uri="{FF2B5EF4-FFF2-40B4-BE49-F238E27FC236}">
                    <a16:creationId xmlns:a16="http://schemas.microsoft.com/office/drawing/2014/main" id="{4B7FCFAF-5283-493C-A8A1-A73BBE36A6D3}"/>
                  </a:ext>
                </a:extLst>
              </xdr:cNvPr>
              <xdr:cNvSpPr txBox="1"/>
            </xdr:nvSpPr>
            <xdr:spPr>
              <a:xfrm>
                <a:off x="6212025" y="8553039"/>
                <a:ext cx="366832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:r>
                  <a:rPr lang="en-US" sz="1400" b="0" i="0">
                    <a:latin typeface="Cambria Math" panose="02040503050406030204" pitchFamily="18" charset="0"/>
                  </a:rPr>
                  <a:t>𝐿, м </a:t>
                </a:r>
                <a:endParaRPr lang="ru-RU" sz="1400"/>
              </a:p>
            </xdr:txBody>
          </xdr:sp>
        </mc:Fallback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4831</xdr:colOff>
      <xdr:row>21</xdr:row>
      <xdr:rowOff>2660</xdr:rowOff>
    </xdr:from>
    <xdr:to>
      <xdr:col>21</xdr:col>
      <xdr:colOff>0</xdr:colOff>
      <xdr:row>49</xdr:row>
      <xdr:rowOff>11206</xdr:rowOff>
    </xdr:to>
    <xdr:grpSp>
      <xdr:nvGrpSpPr>
        <xdr:cNvPr id="2" name="Группа 1">
          <a:extLst>
            <a:ext uri="{FF2B5EF4-FFF2-40B4-BE49-F238E27FC236}">
              <a16:creationId xmlns:a16="http://schemas.microsoft.com/office/drawing/2014/main" id="{1028549F-E4A3-492C-9DB0-CCF806399853}"/>
            </a:ext>
          </a:extLst>
        </xdr:cNvPr>
        <xdr:cNvGrpSpPr/>
      </xdr:nvGrpSpPr>
      <xdr:grpSpPr>
        <a:xfrm>
          <a:off x="2010684" y="5034101"/>
          <a:ext cx="11458787" cy="5521840"/>
          <a:chOff x="1867159" y="4887256"/>
          <a:chExt cx="4811289" cy="4735732"/>
        </a:xfrm>
      </xdr:grpSpPr>
      <xdr:graphicFrame macro="">
        <xdr:nvGraphicFramePr>
          <xdr:cNvPr id="3" name="Диаграмма 2">
            <a:extLst>
              <a:ext uri="{FF2B5EF4-FFF2-40B4-BE49-F238E27FC236}">
                <a16:creationId xmlns:a16="http://schemas.microsoft.com/office/drawing/2014/main" id="{46F77246-FBFE-4881-8612-DE0146DA1A7B}"/>
              </a:ext>
            </a:extLst>
          </xdr:cNvPr>
          <xdr:cNvGraphicFramePr/>
        </xdr:nvGraphicFramePr>
        <xdr:xfrm>
          <a:off x="1867159" y="4887256"/>
          <a:ext cx="4811289" cy="47357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" name="TextBox 3">
                <a:extLst>
                  <a:ext uri="{FF2B5EF4-FFF2-40B4-BE49-F238E27FC236}">
                    <a16:creationId xmlns:a16="http://schemas.microsoft.com/office/drawing/2014/main" id="{A575DE8D-4835-4772-A702-C15AB8D3DC7E}"/>
                  </a:ext>
                </a:extLst>
              </xdr:cNvPr>
              <xdr:cNvSpPr txBox="1"/>
            </xdr:nvSpPr>
            <xdr:spPr>
              <a:xfrm>
                <a:off x="1888033" y="4956086"/>
                <a:ext cx="217058" cy="187962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𝑇</m:t>
                      </m:r>
                      <m:r>
                        <a:rPr lang="en-US" sz="1400" b="0" i="1">
                          <a:latin typeface="Cambria Math" panose="02040503050406030204" pitchFamily="18" charset="0"/>
                        </a:rPr>
                        <m:t>, ℃ </m:t>
                      </m:r>
                    </m:oMath>
                  </m:oMathPara>
                </a14:m>
                <a:endParaRPr lang="ru-RU" sz="1400"/>
              </a:p>
            </xdr:txBody>
          </xdr:sp>
        </mc:Choice>
        <mc:Fallback>
          <xdr:sp macro="" textlink="">
            <xdr:nvSpPr>
              <xdr:cNvPr id="4" name="TextBox 3">
                <a:extLst>
                  <a:ext uri="{FF2B5EF4-FFF2-40B4-BE49-F238E27FC236}">
                    <a16:creationId xmlns:a16="http://schemas.microsoft.com/office/drawing/2014/main" id="{A575DE8D-4835-4772-A702-C15AB8D3DC7E}"/>
                  </a:ext>
                </a:extLst>
              </xdr:cNvPr>
              <xdr:cNvSpPr txBox="1"/>
            </xdr:nvSpPr>
            <xdr:spPr>
              <a:xfrm>
                <a:off x="1888033" y="4956086"/>
                <a:ext cx="217058" cy="187962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rtlCol="0" anchor="t">
                <a:spAutoFit/>
              </a:bodyPr>
              <a:lstStyle/>
              <a:p>
                <a:pPr/>
                <a:r>
                  <a:rPr lang="en-US" sz="1400" b="0" i="0">
                    <a:latin typeface="Cambria Math" panose="02040503050406030204" pitchFamily="18" charset="0"/>
                  </a:rPr>
                  <a:t>𝑇, ℃ </a:t>
                </a:r>
                <a:endParaRPr lang="ru-RU" sz="1400"/>
              </a:p>
            </xdr:txBody>
          </xdr:sp>
        </mc:Fallback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" name="TextBox 4">
                <a:extLst>
                  <a:ext uri="{FF2B5EF4-FFF2-40B4-BE49-F238E27FC236}">
                    <a16:creationId xmlns:a16="http://schemas.microsoft.com/office/drawing/2014/main" id="{B8D2F4B5-3D90-4218-BC38-53F495EAFA16}"/>
                  </a:ext>
                </a:extLst>
              </xdr:cNvPr>
              <xdr:cNvSpPr txBox="1"/>
            </xdr:nvSpPr>
            <xdr:spPr>
              <a:xfrm>
                <a:off x="6301422" y="9360327"/>
                <a:ext cx="366832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𝐿</m:t>
                      </m:r>
                      <m:r>
                        <a:rPr lang="en-US" sz="1400" b="0" i="1">
                          <a:latin typeface="Cambria Math" panose="02040503050406030204" pitchFamily="18" charset="0"/>
                        </a:rPr>
                        <m:t>, м </m:t>
                      </m:r>
                    </m:oMath>
                  </m:oMathPara>
                </a14:m>
                <a:endParaRPr lang="ru-RU" sz="1400"/>
              </a:p>
            </xdr:txBody>
          </xdr:sp>
        </mc:Choice>
        <mc:Fallback>
          <xdr:sp macro="" textlink="">
            <xdr:nvSpPr>
              <xdr:cNvPr id="5" name="TextBox 4">
                <a:extLst>
                  <a:ext uri="{FF2B5EF4-FFF2-40B4-BE49-F238E27FC236}">
                    <a16:creationId xmlns:a16="http://schemas.microsoft.com/office/drawing/2014/main" id="{B8D2F4B5-3D90-4218-BC38-53F495EAFA16}"/>
                  </a:ext>
                </a:extLst>
              </xdr:cNvPr>
              <xdr:cNvSpPr txBox="1"/>
            </xdr:nvSpPr>
            <xdr:spPr>
              <a:xfrm>
                <a:off x="6301422" y="9360327"/>
                <a:ext cx="366832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:r>
                  <a:rPr lang="en-US" sz="1400" b="0" i="0">
                    <a:latin typeface="Cambria Math" panose="02040503050406030204" pitchFamily="18" charset="0"/>
                  </a:rPr>
                  <a:t>𝐿, м </a:t>
                </a:r>
                <a:endParaRPr lang="ru-RU" sz="1400"/>
              </a:p>
            </xdr:txBody>
          </xdr:sp>
        </mc:Fallback>
      </mc:AlternateContent>
    </xdr:grp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A690F-8077-4FE2-9729-E41A0B1D29C0}">
  <sheetPr codeName="Лист2"/>
  <dimension ref="A1:AH37"/>
  <sheetViews>
    <sheetView zoomScale="85" zoomScaleNormal="85" workbookViewId="0">
      <selection activeCell="S20" sqref="S20"/>
    </sheetView>
  </sheetViews>
  <sheetFormatPr defaultRowHeight="15" x14ac:dyDescent="0.25"/>
  <sheetData>
    <row r="1" spans="1:34" ht="18.75" x14ac:dyDescent="0.25">
      <c r="A1" s="3" t="s">
        <v>0</v>
      </c>
      <c r="B1" s="3">
        <v>0.1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</row>
    <row r="2" spans="1:34" ht="18.75" x14ac:dyDescent="0.25">
      <c r="A2" s="3" t="s">
        <v>1</v>
      </c>
      <c r="B2" s="4">
        <f>B1/30</f>
        <v>3.3333333333333335E-3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1:34" ht="18.75" x14ac:dyDescent="0.25">
      <c r="A3" s="3" t="s">
        <v>2</v>
      </c>
      <c r="B3" s="4">
        <f>(B7*B6*B2^2)/(2*B8)</f>
        <v>0.4333333333333334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4" ht="18.75" x14ac:dyDescent="0.25">
      <c r="A4" s="3" t="s">
        <v>3</v>
      </c>
      <c r="B4" s="3">
        <v>60</v>
      </c>
      <c r="C4" s="2">
        <v>60.233333333333341</v>
      </c>
      <c r="D4" s="2"/>
      <c r="E4" s="2"/>
      <c r="F4" s="1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spans="1:34" ht="18.75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</row>
    <row r="6" spans="1:34" ht="20.25" x14ac:dyDescent="0.25">
      <c r="A6" s="3" t="s">
        <v>7</v>
      </c>
      <c r="B6" s="3">
        <v>460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</row>
    <row r="7" spans="1:34" ht="20.25" x14ac:dyDescent="0.25">
      <c r="A7" s="2" t="s">
        <v>11</v>
      </c>
      <c r="B7" s="3">
        <v>7800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</row>
    <row r="8" spans="1:34" ht="18.75" x14ac:dyDescent="0.25">
      <c r="A8" s="3" t="s">
        <v>12</v>
      </c>
      <c r="B8" s="3">
        <v>46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</row>
    <row r="9" spans="1:34" ht="18.75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</row>
    <row r="10" spans="1:34" ht="18.75" x14ac:dyDescent="0.25">
      <c r="A10" s="2"/>
      <c r="B10" s="2"/>
      <c r="C10" s="2"/>
      <c r="D10" s="3">
        <v>1</v>
      </c>
      <c r="E10" s="3">
        <v>2</v>
      </c>
      <c r="F10" s="3">
        <v>3</v>
      </c>
      <c r="G10" s="3">
        <v>4</v>
      </c>
      <c r="H10" s="3">
        <v>5</v>
      </c>
      <c r="I10" s="3">
        <v>6</v>
      </c>
      <c r="J10" s="3">
        <v>7</v>
      </c>
      <c r="K10" s="3">
        <v>8</v>
      </c>
      <c r="L10" s="3">
        <v>9</v>
      </c>
      <c r="M10" s="3">
        <v>10</v>
      </c>
      <c r="N10" s="3">
        <v>11</v>
      </c>
      <c r="O10" s="3">
        <v>12</v>
      </c>
      <c r="P10" s="3">
        <v>13</v>
      </c>
      <c r="Q10" s="3">
        <v>14</v>
      </c>
      <c r="R10" s="3">
        <v>15</v>
      </c>
      <c r="S10" s="3">
        <v>16</v>
      </c>
      <c r="T10" s="3">
        <v>17</v>
      </c>
      <c r="U10" s="3">
        <v>18</v>
      </c>
      <c r="V10" s="3">
        <v>19</v>
      </c>
      <c r="W10" s="3">
        <v>20</v>
      </c>
      <c r="X10" s="3">
        <v>21</v>
      </c>
      <c r="Y10" s="3">
        <v>22</v>
      </c>
      <c r="Z10" s="3">
        <v>23</v>
      </c>
      <c r="AA10" s="3">
        <v>24</v>
      </c>
      <c r="AB10" s="3">
        <v>25</v>
      </c>
      <c r="AC10" s="3">
        <v>26</v>
      </c>
      <c r="AD10" s="3">
        <v>27</v>
      </c>
      <c r="AE10" s="3">
        <v>28</v>
      </c>
      <c r="AF10" s="3">
        <v>29</v>
      </c>
      <c r="AG10" s="3">
        <v>30</v>
      </c>
      <c r="AH10" s="3">
        <v>31</v>
      </c>
    </row>
    <row r="11" spans="1:34" ht="18.75" x14ac:dyDescent="0.25">
      <c r="A11" s="2"/>
      <c r="B11" s="2"/>
      <c r="C11" s="2" t="s">
        <v>0</v>
      </c>
      <c r="D11" s="3">
        <v>0</v>
      </c>
      <c r="E11" s="4">
        <f>D11+$B$2</f>
        <v>3.3333333333333335E-3</v>
      </c>
      <c r="F11" s="4">
        <f t="shared" ref="F11:AH11" si="0">E11+$B$2</f>
        <v>6.6666666666666671E-3</v>
      </c>
      <c r="G11" s="4">
        <f t="shared" si="0"/>
        <v>0.01</v>
      </c>
      <c r="H11" s="4">
        <f t="shared" si="0"/>
        <v>1.3333333333333334E-2</v>
      </c>
      <c r="I11" s="4">
        <f t="shared" si="0"/>
        <v>1.6666666666666666E-2</v>
      </c>
      <c r="J11" s="4">
        <f t="shared" si="0"/>
        <v>0.02</v>
      </c>
      <c r="K11" s="4">
        <f t="shared" si="0"/>
        <v>2.3333333333333334E-2</v>
      </c>
      <c r="L11" s="4">
        <f t="shared" si="0"/>
        <v>2.6666666666666668E-2</v>
      </c>
      <c r="M11" s="4">
        <f t="shared" si="0"/>
        <v>3.0000000000000002E-2</v>
      </c>
      <c r="N11" s="4">
        <f t="shared" si="0"/>
        <v>3.3333333333333333E-2</v>
      </c>
      <c r="O11" s="4">
        <f t="shared" si="0"/>
        <v>3.6666666666666667E-2</v>
      </c>
      <c r="P11" s="4">
        <f t="shared" si="0"/>
        <v>0.04</v>
      </c>
      <c r="Q11" s="4">
        <f t="shared" si="0"/>
        <v>4.3333333333333335E-2</v>
      </c>
      <c r="R11" s="4">
        <f t="shared" si="0"/>
        <v>4.6666666666666669E-2</v>
      </c>
      <c r="S11" s="4">
        <f t="shared" si="0"/>
        <v>0.05</v>
      </c>
      <c r="T11" s="4">
        <f t="shared" si="0"/>
        <v>5.3333333333333337E-2</v>
      </c>
      <c r="U11" s="4">
        <f t="shared" si="0"/>
        <v>5.6666666666666671E-2</v>
      </c>
      <c r="V11" s="4">
        <f t="shared" si="0"/>
        <v>6.0000000000000005E-2</v>
      </c>
      <c r="W11" s="4">
        <f t="shared" si="0"/>
        <v>6.3333333333333339E-2</v>
      </c>
      <c r="X11" s="4">
        <f t="shared" si="0"/>
        <v>6.6666666666666666E-2</v>
      </c>
      <c r="Y11" s="4">
        <f t="shared" si="0"/>
        <v>6.9999999999999993E-2</v>
      </c>
      <c r="Z11" s="4">
        <f t="shared" si="0"/>
        <v>7.333333333333332E-2</v>
      </c>
      <c r="AA11" s="4">
        <f t="shared" si="0"/>
        <v>7.6666666666666647E-2</v>
      </c>
      <c r="AB11" s="4">
        <f t="shared" si="0"/>
        <v>7.9999999999999974E-2</v>
      </c>
      <c r="AC11" s="4">
        <f t="shared" si="0"/>
        <v>8.3333333333333301E-2</v>
      </c>
      <c r="AD11" s="4">
        <f t="shared" si="0"/>
        <v>8.6666666666666628E-2</v>
      </c>
      <c r="AE11" s="4">
        <f t="shared" si="0"/>
        <v>8.9999999999999955E-2</v>
      </c>
      <c r="AF11" s="4">
        <f t="shared" si="0"/>
        <v>9.3333333333333282E-2</v>
      </c>
      <c r="AG11" s="4">
        <f t="shared" si="0"/>
        <v>9.6666666666666609E-2</v>
      </c>
      <c r="AH11" s="4">
        <f t="shared" si="0"/>
        <v>9.9999999999999936E-2</v>
      </c>
    </row>
    <row r="12" spans="1:34" ht="18.75" x14ac:dyDescent="0.25">
      <c r="A12" s="2"/>
      <c r="B12" s="2"/>
      <c r="C12" s="2" t="s">
        <v>4</v>
      </c>
      <c r="D12" s="3">
        <f>B16</f>
        <v>300</v>
      </c>
      <c r="E12" s="5">
        <v>280.34602914679897</v>
      </c>
      <c r="F12" s="5">
        <v>260.69205829359794</v>
      </c>
      <c r="G12" s="5">
        <v>241.69187227593491</v>
      </c>
      <c r="H12" s="5">
        <v>222.69168625827183</v>
      </c>
      <c r="I12" s="5">
        <v>204.95390631913148</v>
      </c>
      <c r="J12" s="5">
        <v>187.21612637999107</v>
      </c>
      <c r="K12" s="5">
        <v>171.26453784334268</v>
      </c>
      <c r="L12" s="5">
        <v>155.31294930669429</v>
      </c>
      <c r="M12" s="5">
        <v>141.55671337374599</v>
      </c>
      <c r="N12" s="5">
        <v>127.80047744079765</v>
      </c>
      <c r="O12" s="5">
        <v>116.51671674932982</v>
      </c>
      <c r="P12" s="5">
        <v>105.23295605786197</v>
      </c>
      <c r="Q12" s="5">
        <v>96.561989352755049</v>
      </c>
      <c r="R12" s="5">
        <v>87.891022647648128</v>
      </c>
      <c r="S12" s="5">
        <v>81.842538774051832</v>
      </c>
      <c r="T12" s="5">
        <v>75.794054900455549</v>
      </c>
      <c r="U12" s="5">
        <v>72.261187114604226</v>
      </c>
      <c r="V12" s="5">
        <v>68.728319328752917</v>
      </c>
      <c r="W12" s="5">
        <v>67.506108522455037</v>
      </c>
      <c r="X12" s="5">
        <v>66.283897716157142</v>
      </c>
      <c r="Y12" s="5">
        <v>67.088962026000345</v>
      </c>
      <c r="Z12" s="5">
        <v>67.894026335843549</v>
      </c>
      <c r="AA12" s="5">
        <v>70.383127200086093</v>
      </c>
      <c r="AB12" s="5">
        <v>72.872228064328638</v>
      </c>
      <c r="AC12" s="5">
        <v>76.658491877071754</v>
      </c>
      <c r="AD12" s="5">
        <v>80.444755689814855</v>
      </c>
      <c r="AE12" s="5">
        <v>85.111263870845988</v>
      </c>
      <c r="AF12" s="5">
        <v>89.777772051877108</v>
      </c>
      <c r="AG12" s="5">
        <v>94.888886025938547</v>
      </c>
      <c r="AH12" s="3">
        <f>B17</f>
        <v>100</v>
      </c>
    </row>
    <row r="13" spans="1:34" ht="18.75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</row>
    <row r="14" spans="1:34" ht="18.75" x14ac:dyDescent="0.25">
      <c r="A14" s="2"/>
      <c r="B14" s="2"/>
      <c r="C14" s="2" t="s">
        <v>5</v>
      </c>
      <c r="D14" s="2"/>
      <c r="E14" s="2">
        <f>E12+(($B$8*$B$3)/($B$7*$B$6))*((F12-2*E12+D12)/($B$2^2))</f>
        <v>280.34602914679897</v>
      </c>
      <c r="F14" s="2">
        <f t="shared" ref="F14:AG14" si="1">F12+(($B$8*$B$3)/($B$7*$B$6))*((G12-2*F12+E12)/($B$2^2))</f>
        <v>261.01895071136693</v>
      </c>
      <c r="G14" s="2">
        <f t="shared" si="1"/>
        <v>241.69187227593488</v>
      </c>
      <c r="H14" s="2">
        <f t="shared" si="1"/>
        <v>223.32288929753321</v>
      </c>
      <c r="I14" s="2">
        <f t="shared" si="1"/>
        <v>204.95390631913145</v>
      </c>
      <c r="J14" s="2">
        <f t="shared" si="1"/>
        <v>188.10922208123708</v>
      </c>
      <c r="K14" s="2">
        <f t="shared" si="1"/>
        <v>171.26453784334268</v>
      </c>
      <c r="L14" s="2">
        <f t="shared" si="1"/>
        <v>156.41062560854434</v>
      </c>
      <c r="M14" s="2">
        <f t="shared" si="1"/>
        <v>141.55671337374596</v>
      </c>
      <c r="N14" s="2">
        <f t="shared" si="1"/>
        <v>129.0367150615379</v>
      </c>
      <c r="O14" s="2">
        <f t="shared" si="1"/>
        <v>116.51671674932982</v>
      </c>
      <c r="P14" s="2">
        <f t="shared" si="1"/>
        <v>106.53935305104244</v>
      </c>
      <c r="Q14" s="2">
        <f t="shared" si="1"/>
        <v>96.561989352755049</v>
      </c>
      <c r="R14" s="2">
        <f t="shared" si="1"/>
        <v>89.202264063403447</v>
      </c>
      <c r="S14" s="2">
        <f t="shared" si="1"/>
        <v>81.842538774051832</v>
      </c>
      <c r="T14" s="2">
        <f t="shared" si="1"/>
        <v>77.051862944328036</v>
      </c>
      <c r="U14" s="2">
        <f t="shared" si="1"/>
        <v>72.26118711460424</v>
      </c>
      <c r="V14" s="2">
        <f t="shared" si="1"/>
        <v>69.883647818529624</v>
      </c>
      <c r="W14" s="2">
        <f t="shared" si="1"/>
        <v>67.506108522455037</v>
      </c>
      <c r="X14" s="2">
        <f t="shared" si="1"/>
        <v>67.297535274227698</v>
      </c>
      <c r="Y14" s="2">
        <f t="shared" si="1"/>
        <v>67.088962026000345</v>
      </c>
      <c r="Z14" s="2">
        <f t="shared" si="1"/>
        <v>68.736044613043219</v>
      </c>
      <c r="AA14" s="2">
        <f t="shared" si="1"/>
        <v>70.383127200086093</v>
      </c>
      <c r="AB14" s="2">
        <f t="shared" si="1"/>
        <v>73.520809538578931</v>
      </c>
      <c r="AC14" s="2">
        <f t="shared" si="1"/>
        <v>76.658491877071754</v>
      </c>
      <c r="AD14" s="2">
        <f t="shared" si="1"/>
        <v>80.884877873958871</v>
      </c>
      <c r="AE14" s="2">
        <f t="shared" si="1"/>
        <v>85.111263870845988</v>
      </c>
      <c r="AF14" s="2">
        <f t="shared" si="1"/>
        <v>90.000074948392268</v>
      </c>
      <c r="AG14" s="2">
        <f t="shared" si="1"/>
        <v>94.888886025938547</v>
      </c>
      <c r="AH14" s="2"/>
    </row>
    <row r="15" spans="1:34" ht="18.75" x14ac:dyDescent="0.25">
      <c r="A15" s="2"/>
      <c r="B15" s="2"/>
      <c r="AH15" s="2"/>
    </row>
    <row r="16" spans="1:34" ht="20.25" x14ac:dyDescent="0.25">
      <c r="A16" s="3" t="s">
        <v>8</v>
      </c>
      <c r="B16" s="3">
        <v>300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</row>
    <row r="17" spans="1:34" ht="20.25" x14ac:dyDescent="0.25">
      <c r="A17" s="3" t="s">
        <v>9</v>
      </c>
      <c r="B17" s="3">
        <v>100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</row>
    <row r="18" spans="1:34" ht="18.75" x14ac:dyDescent="0.25"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</row>
    <row r="19" spans="1:34" ht="18.75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</row>
    <row r="20" spans="1:34" ht="18.75" x14ac:dyDescent="0.25"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</row>
    <row r="21" spans="1:34" ht="18.75" x14ac:dyDescent="0.25"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</row>
    <row r="22" spans="1:34" ht="18.75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</row>
    <row r="23" spans="1:34" ht="18.75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</row>
    <row r="24" spans="1:34" ht="18.75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</row>
    <row r="25" spans="1:34" ht="18.75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</row>
    <row r="26" spans="1:3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</row>
    <row r="27" spans="1:3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</row>
    <row r="28" spans="1:3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</row>
    <row r="29" spans="1:3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</row>
    <row r="30" spans="1:3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</row>
    <row r="31" spans="1:3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</row>
    <row r="32" spans="1:3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</row>
    <row r="33" spans="1:3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</row>
    <row r="34" spans="1:34" x14ac:dyDescent="0.25"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</row>
    <row r="35" spans="1:34" x14ac:dyDescent="0.25"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</row>
    <row r="36" spans="1:34" x14ac:dyDescent="0.25"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</row>
    <row r="37" spans="1:34" x14ac:dyDescent="0.25"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</row>
  </sheetData>
  <conditionalFormatting sqref="D12:AH12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5773E-48DC-47C5-B56A-D3E1FEF7EEF5}">
  <sheetPr codeName="Лист1"/>
  <dimension ref="A1:AI33"/>
  <sheetViews>
    <sheetView zoomScale="85" zoomScaleNormal="85" workbookViewId="0">
      <selection activeCell="C15" sqref="C15:AG15"/>
    </sheetView>
  </sheetViews>
  <sheetFormatPr defaultRowHeight="15" x14ac:dyDescent="0.25"/>
  <cols>
    <col min="2" max="2" width="9.5703125" customWidth="1"/>
    <col min="4" max="35" width="9" style="1" customWidth="1"/>
  </cols>
  <sheetData>
    <row r="1" spans="1:35" ht="18.75" x14ac:dyDescent="0.25">
      <c r="A1" s="3" t="s">
        <v>0</v>
      </c>
      <c r="B1" s="3">
        <v>0.1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</row>
    <row r="2" spans="1:35" ht="18.75" x14ac:dyDescent="0.25">
      <c r="A2" s="3" t="s">
        <v>1</v>
      </c>
      <c r="B2" s="4">
        <f>B1/30</f>
        <v>3.3333333333333335E-3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</row>
    <row r="3" spans="1:35" ht="18.75" x14ac:dyDescent="0.25">
      <c r="A3" s="3" t="s">
        <v>2</v>
      </c>
      <c r="B3" s="4">
        <f>(B7*B6*B2^2)/(2*B8)</f>
        <v>0.4333333333333334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</row>
    <row r="4" spans="1:35" ht="18.75" x14ac:dyDescent="0.25">
      <c r="A4" s="3" t="s">
        <v>3</v>
      </c>
      <c r="B4" s="3">
        <v>5000</v>
      </c>
      <c r="C4" s="2">
        <v>5000.2333333333345</v>
      </c>
      <c r="D4" s="2"/>
      <c r="E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</row>
    <row r="5" spans="1:35" ht="18.75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</row>
    <row r="6" spans="1:35" ht="20.25" x14ac:dyDescent="0.25">
      <c r="A6" s="3" t="s">
        <v>7</v>
      </c>
      <c r="B6" s="3">
        <v>460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</row>
    <row r="7" spans="1:35" ht="20.25" x14ac:dyDescent="0.25">
      <c r="A7" s="2" t="s">
        <v>11</v>
      </c>
      <c r="B7" s="3">
        <v>7800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</row>
    <row r="8" spans="1:35" ht="18.75" x14ac:dyDescent="0.25">
      <c r="A8" s="3" t="s">
        <v>12</v>
      </c>
      <c r="B8" s="3">
        <v>46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</row>
    <row r="9" spans="1:35" ht="18.75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/>
    </row>
    <row r="10" spans="1:35" ht="18.75" x14ac:dyDescent="0.25">
      <c r="A10" s="2"/>
      <c r="B10" s="2"/>
      <c r="C10" s="2"/>
      <c r="D10" s="3">
        <v>1</v>
      </c>
      <c r="E10" s="3">
        <v>2</v>
      </c>
      <c r="F10" s="3">
        <v>3</v>
      </c>
      <c r="G10" s="3">
        <v>4</v>
      </c>
      <c r="H10" s="3">
        <v>5</v>
      </c>
      <c r="I10" s="3">
        <v>6</v>
      </c>
      <c r="J10" s="3">
        <v>7</v>
      </c>
      <c r="K10" s="3">
        <v>8</v>
      </c>
      <c r="L10" s="3">
        <v>9</v>
      </c>
      <c r="M10" s="3">
        <v>10</v>
      </c>
      <c r="N10" s="3">
        <v>11</v>
      </c>
      <c r="O10" s="3">
        <v>12</v>
      </c>
      <c r="P10" s="3">
        <v>13</v>
      </c>
      <c r="Q10" s="3">
        <v>14</v>
      </c>
      <c r="R10" s="3">
        <v>15</v>
      </c>
      <c r="S10" s="3">
        <v>16</v>
      </c>
      <c r="T10" s="3">
        <v>17</v>
      </c>
      <c r="U10" s="3">
        <v>18</v>
      </c>
      <c r="V10" s="3">
        <v>19</v>
      </c>
      <c r="W10" s="3">
        <v>20</v>
      </c>
      <c r="X10" s="3">
        <v>21</v>
      </c>
      <c r="Y10" s="3">
        <v>22</v>
      </c>
      <c r="Z10" s="3">
        <v>23</v>
      </c>
      <c r="AA10" s="3">
        <v>24</v>
      </c>
      <c r="AB10" s="3">
        <v>25</v>
      </c>
      <c r="AC10" s="3">
        <v>26</v>
      </c>
      <c r="AD10" s="3">
        <v>27</v>
      </c>
      <c r="AE10" s="3">
        <v>28</v>
      </c>
      <c r="AF10" s="3">
        <v>29</v>
      </c>
      <c r="AG10" s="3">
        <v>30</v>
      </c>
      <c r="AH10" s="3">
        <v>31</v>
      </c>
      <c r="AI10"/>
    </row>
    <row r="11" spans="1:35" ht="18.75" x14ac:dyDescent="0.25">
      <c r="A11" s="2"/>
      <c r="B11" s="2"/>
      <c r="C11" s="2" t="s">
        <v>0</v>
      </c>
      <c r="D11" s="3">
        <v>0</v>
      </c>
      <c r="E11" s="4">
        <f>D11+$B$2</f>
        <v>3.3333333333333335E-3</v>
      </c>
      <c r="F11" s="4">
        <f t="shared" ref="F11:AH11" si="0">E11+$B$2</f>
        <v>6.6666666666666671E-3</v>
      </c>
      <c r="G11" s="4">
        <f t="shared" si="0"/>
        <v>0.01</v>
      </c>
      <c r="H11" s="4">
        <f t="shared" si="0"/>
        <v>1.3333333333333334E-2</v>
      </c>
      <c r="I11" s="4">
        <f t="shared" si="0"/>
        <v>1.6666666666666666E-2</v>
      </c>
      <c r="J11" s="4">
        <f t="shared" si="0"/>
        <v>0.02</v>
      </c>
      <c r="K11" s="4">
        <f t="shared" si="0"/>
        <v>2.3333333333333334E-2</v>
      </c>
      <c r="L11" s="4">
        <f t="shared" si="0"/>
        <v>2.6666666666666668E-2</v>
      </c>
      <c r="M11" s="4">
        <f t="shared" si="0"/>
        <v>3.0000000000000002E-2</v>
      </c>
      <c r="N11" s="4">
        <f t="shared" si="0"/>
        <v>3.3333333333333333E-2</v>
      </c>
      <c r="O11" s="4">
        <f t="shared" si="0"/>
        <v>3.6666666666666667E-2</v>
      </c>
      <c r="P11" s="4">
        <f t="shared" si="0"/>
        <v>0.04</v>
      </c>
      <c r="Q11" s="4">
        <f t="shared" si="0"/>
        <v>4.3333333333333335E-2</v>
      </c>
      <c r="R11" s="4">
        <f t="shared" si="0"/>
        <v>4.6666666666666669E-2</v>
      </c>
      <c r="S11" s="4">
        <f t="shared" si="0"/>
        <v>0.05</v>
      </c>
      <c r="T11" s="4">
        <f t="shared" si="0"/>
        <v>5.3333333333333337E-2</v>
      </c>
      <c r="U11" s="4">
        <f t="shared" si="0"/>
        <v>5.6666666666666671E-2</v>
      </c>
      <c r="V11" s="4">
        <f t="shared" si="0"/>
        <v>6.0000000000000005E-2</v>
      </c>
      <c r="W11" s="4">
        <f t="shared" si="0"/>
        <v>6.3333333333333339E-2</v>
      </c>
      <c r="X11" s="4">
        <f t="shared" si="0"/>
        <v>6.6666666666666666E-2</v>
      </c>
      <c r="Y11" s="4">
        <f t="shared" si="0"/>
        <v>6.9999999999999993E-2</v>
      </c>
      <c r="Z11" s="4">
        <f t="shared" si="0"/>
        <v>7.333333333333332E-2</v>
      </c>
      <c r="AA11" s="4">
        <f t="shared" si="0"/>
        <v>7.6666666666666647E-2</v>
      </c>
      <c r="AB11" s="4">
        <f t="shared" si="0"/>
        <v>7.9999999999999974E-2</v>
      </c>
      <c r="AC11" s="4">
        <f t="shared" si="0"/>
        <v>8.3333333333333301E-2</v>
      </c>
      <c r="AD11" s="4">
        <f t="shared" si="0"/>
        <v>8.6666666666666628E-2</v>
      </c>
      <c r="AE11" s="4">
        <f t="shared" si="0"/>
        <v>8.9999999999999955E-2</v>
      </c>
      <c r="AF11" s="4">
        <f t="shared" si="0"/>
        <v>9.3333333333333282E-2</v>
      </c>
      <c r="AG11" s="4">
        <f t="shared" si="0"/>
        <v>9.6666666666666609E-2</v>
      </c>
      <c r="AH11" s="4">
        <f t="shared" si="0"/>
        <v>9.9999999999999936E-2</v>
      </c>
      <c r="AI11"/>
    </row>
    <row r="12" spans="1:35" ht="18.75" x14ac:dyDescent="0.25">
      <c r="A12" s="2"/>
      <c r="B12" s="2"/>
      <c r="C12" s="2" t="s">
        <v>4</v>
      </c>
      <c r="D12" s="3">
        <f>(D15/B8)*B2+E12</f>
        <v>299.99997763108735</v>
      </c>
      <c r="E12" s="5">
        <v>293.33331096442066</v>
      </c>
      <c r="F12" s="5">
        <v>286.6666443611611</v>
      </c>
      <c r="G12" s="5">
        <v>279.99997782112894</v>
      </c>
      <c r="H12" s="5">
        <v>273.33331134396514</v>
      </c>
      <c r="I12" s="5">
        <v>266.66664492913264</v>
      </c>
      <c r="J12" s="5">
        <v>259.99997857591751</v>
      </c>
      <c r="K12" s="5">
        <v>253.3333122834313</v>
      </c>
      <c r="L12" s="5">
        <v>246.66664605061328</v>
      </c>
      <c r="M12" s="5">
        <v>239.99997987623377</v>
      </c>
      <c r="N12" s="5">
        <v>233.33331375889719</v>
      </c>
      <c r="O12" s="5">
        <v>226.66664769704656</v>
      </c>
      <c r="P12" s="5">
        <v>219.9999816889673</v>
      </c>
      <c r="Q12" s="5">
        <v>213.33331573279273</v>
      </c>
      <c r="R12" s="5">
        <v>206.66664982650872</v>
      </c>
      <c r="S12" s="5">
        <v>199.99998396796005</v>
      </c>
      <c r="T12" s="5">
        <v>193.33331815485587</v>
      </c>
      <c r="U12" s="5">
        <v>186.6666523847768</v>
      </c>
      <c r="V12" s="5">
        <v>179.99998665518126</v>
      </c>
      <c r="W12" s="5">
        <v>173.33332096341309</v>
      </c>
      <c r="X12" s="5">
        <v>166.66665530670878</v>
      </c>
      <c r="Y12" s="5">
        <v>159.9999896822055</v>
      </c>
      <c r="Z12" s="5">
        <v>153.33332408694912</v>
      </c>
      <c r="AA12" s="5">
        <v>146.66665851790265</v>
      </c>
      <c r="AB12" s="5">
        <v>139.99999297195473</v>
      </c>
      <c r="AC12" s="5">
        <v>133.33332744592857</v>
      </c>
      <c r="AD12" s="5">
        <v>126.66666193659087</v>
      </c>
      <c r="AE12" s="5">
        <v>119.99999644066111</v>
      </c>
      <c r="AF12" s="5">
        <v>113.3333309548207</v>
      </c>
      <c r="AG12" s="5">
        <v>106.66666547572241</v>
      </c>
      <c r="AH12" s="3">
        <f>B17</f>
        <v>100</v>
      </c>
      <c r="AI12"/>
    </row>
    <row r="13" spans="1:35" ht="18.75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/>
    </row>
    <row r="14" spans="1:35" ht="18.75" x14ac:dyDescent="0.25">
      <c r="A14" s="2"/>
      <c r="B14" s="2"/>
      <c r="C14" s="2" t="s">
        <v>5</v>
      </c>
      <c r="D14" s="2"/>
      <c r="E14" s="2">
        <f>E12+(($B$8*$B$3)/($B$7*$B$6))*((F12-2*E12+D12)/($B$2^2))</f>
        <v>293.33331099612423</v>
      </c>
      <c r="F14" s="2">
        <f t="shared" ref="F14:AG14" si="1">F12+(($B$8*$B$3)/($B$7*$B$6))*((G12-2*F12+E12)/($B$2^2))</f>
        <v>286.6666443927748</v>
      </c>
      <c r="G14" s="2">
        <f t="shared" si="1"/>
        <v>279.99997785256312</v>
      </c>
      <c r="H14" s="2">
        <f t="shared" si="1"/>
        <v>273.33331137513079</v>
      </c>
      <c r="I14" s="2">
        <f t="shared" si="1"/>
        <v>266.66664495994132</v>
      </c>
      <c r="J14" s="2">
        <f t="shared" si="1"/>
        <v>259.99997860628196</v>
      </c>
      <c r="K14" s="2">
        <f t="shared" si="1"/>
        <v>253.3333123132654</v>
      </c>
      <c r="L14" s="2">
        <f t="shared" si="1"/>
        <v>246.66664607983253</v>
      </c>
      <c r="M14" s="2">
        <f t="shared" si="1"/>
        <v>239.99997990475524</v>
      </c>
      <c r="N14" s="2">
        <f t="shared" si="1"/>
        <v>233.33331378664016</v>
      </c>
      <c r="O14" s="2">
        <f t="shared" si="1"/>
        <v>226.66664772393224</v>
      </c>
      <c r="P14" s="2">
        <f t="shared" si="1"/>
        <v>219.99998171491964</v>
      </c>
      <c r="Q14" s="2">
        <f t="shared" si="1"/>
        <v>213.33331575773801</v>
      </c>
      <c r="R14" s="2">
        <f t="shared" si="1"/>
        <v>206.66664985037639</v>
      </c>
      <c r="S14" s="2">
        <f t="shared" si="1"/>
        <v>199.9999839906823</v>
      </c>
      <c r="T14" s="2">
        <f t="shared" si="1"/>
        <v>193.33331817636844</v>
      </c>
      <c r="U14" s="2">
        <f t="shared" si="1"/>
        <v>186.66665240501857</v>
      </c>
      <c r="V14" s="2">
        <f t="shared" si="1"/>
        <v>179.99998667409494</v>
      </c>
      <c r="W14" s="2">
        <f t="shared" si="1"/>
        <v>173.33332098094502</v>
      </c>
      <c r="X14" s="2">
        <f t="shared" si="1"/>
        <v>166.66665532280928</v>
      </c>
      <c r="Y14" s="2">
        <f t="shared" si="1"/>
        <v>159.99998969682895</v>
      </c>
      <c r="Z14" s="2">
        <f t="shared" si="1"/>
        <v>153.33332410005409</v>
      </c>
      <c r="AA14" s="2">
        <f t="shared" si="1"/>
        <v>146.66665852945192</v>
      </c>
      <c r="AB14" s="2">
        <f t="shared" si="1"/>
        <v>139.99999298191563</v>
      </c>
      <c r="AC14" s="2">
        <f t="shared" si="1"/>
        <v>133.33332745427279</v>
      </c>
      <c r="AD14" s="2">
        <f t="shared" si="1"/>
        <v>126.66666194329484</v>
      </c>
      <c r="AE14" s="2">
        <f t="shared" si="1"/>
        <v>119.99999644570579</v>
      </c>
      <c r="AF14" s="2">
        <f t="shared" si="1"/>
        <v>113.33333095819177</v>
      </c>
      <c r="AG14" s="2">
        <f t="shared" si="1"/>
        <v>106.66666547741035</v>
      </c>
      <c r="AH14" s="2"/>
      <c r="AI14"/>
    </row>
    <row r="15" spans="1:35" ht="18.75" x14ac:dyDescent="0.25">
      <c r="A15" s="2"/>
      <c r="B15" s="2"/>
      <c r="C15" s="2" t="s">
        <v>6</v>
      </c>
      <c r="D15" s="2">
        <f>B18</f>
        <v>92000</v>
      </c>
      <c r="E15" s="2">
        <f>-$B$8*((E12-D12)/$B$2)</f>
        <v>92000.000000000247</v>
      </c>
      <c r="F15" s="2">
        <f>-$B$8*((F12-E12)/$B$2)</f>
        <v>91999.999124981885</v>
      </c>
      <c r="G15" s="2">
        <f t="shared" ref="F15:AG15" si="2">-$B$8*((G12-F12)/$B$2)</f>
        <v>91999.998252443896</v>
      </c>
      <c r="H15" s="2">
        <f t="shared" si="2"/>
        <v>91999.997384860442</v>
      </c>
      <c r="I15" s="2">
        <f t="shared" si="2"/>
        <v>91999.996524688366</v>
      </c>
      <c r="J15" s="2">
        <f t="shared" si="2"/>
        <v>91999.995674368853</v>
      </c>
      <c r="K15" s="2">
        <f t="shared" si="2"/>
        <v>91999.994836309721</v>
      </c>
      <c r="L15" s="2">
        <f t="shared" si="2"/>
        <v>91999.994012888623</v>
      </c>
      <c r="M15" s="2">
        <f t="shared" si="2"/>
        <v>91999.993206437299</v>
      </c>
      <c r="N15" s="2">
        <f t="shared" si="2"/>
        <v>91999.992419244736</v>
      </c>
      <c r="O15" s="2">
        <f t="shared" si="2"/>
        <v>91999.991653538746</v>
      </c>
      <c r="P15" s="2">
        <f t="shared" si="2"/>
        <v>91999.990911493791</v>
      </c>
      <c r="Q15" s="2">
        <f t="shared" si="2"/>
        <v>91999.990195209044</v>
      </c>
      <c r="R15" s="2">
        <f t="shared" si="2"/>
        <v>91999.989506719328</v>
      </c>
      <c r="S15" s="2">
        <f t="shared" si="2"/>
        <v>91999.988847971617</v>
      </c>
      <c r="T15" s="2">
        <f t="shared" si="2"/>
        <v>91999.988220837593</v>
      </c>
      <c r="U15" s="2">
        <f t="shared" si="2"/>
        <v>91999.987627091265</v>
      </c>
      <c r="V15" s="2">
        <f t="shared" si="2"/>
        <v>91999.987068418384</v>
      </c>
      <c r="W15" s="2">
        <f t="shared" si="2"/>
        <v>91999.986546400789</v>
      </c>
      <c r="X15" s="2">
        <f t="shared" si="2"/>
        <v>91999.986062519471</v>
      </c>
      <c r="Y15" s="2">
        <f t="shared" si="2"/>
        <v>91999.985618145278</v>
      </c>
      <c r="Z15" s="2">
        <f t="shared" si="2"/>
        <v>91999.985214537985</v>
      </c>
      <c r="AA15" s="2">
        <f t="shared" si="2"/>
        <v>91999.984852841313</v>
      </c>
      <c r="AB15" s="2">
        <f t="shared" si="2"/>
        <v>91999.984534081304</v>
      </c>
      <c r="AC15" s="2">
        <f t="shared" si="2"/>
        <v>91999.984259160876</v>
      </c>
      <c r="AD15" s="2">
        <f t="shared" si="2"/>
        <v>91999.984028860315</v>
      </c>
      <c r="AE15" s="2">
        <f t="shared" si="2"/>
        <v>91999.98384383072</v>
      </c>
      <c r="AF15" s="2">
        <f t="shared" si="2"/>
        <v>91999.983704597675</v>
      </c>
      <c r="AG15" s="2">
        <f t="shared" si="2"/>
        <v>91999.983611556323</v>
      </c>
      <c r="AH15" s="2"/>
      <c r="AI15" s="2"/>
    </row>
    <row r="16" spans="1:35" ht="18.75" x14ac:dyDescent="0.25"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</row>
    <row r="17" spans="1:35" ht="20.25" x14ac:dyDescent="0.25">
      <c r="A17" s="3" t="s">
        <v>9</v>
      </c>
      <c r="B17" s="3">
        <v>100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</row>
    <row r="18" spans="1:35" ht="20.25" x14ac:dyDescent="0.25">
      <c r="A18" s="3" t="s">
        <v>10</v>
      </c>
      <c r="B18" s="3">
        <v>92000</v>
      </c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</row>
    <row r="19" spans="1:35" ht="18.75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</row>
    <row r="20" spans="1:35" ht="18.75" x14ac:dyDescent="0.25"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</row>
    <row r="21" spans="1:35" ht="18.75" x14ac:dyDescent="0.25"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</row>
    <row r="22" spans="1:35" ht="18.75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</row>
    <row r="23" spans="1:35" ht="18.75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</row>
    <row r="24" spans="1:35" ht="18.75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</row>
    <row r="25" spans="1:35" ht="18.75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</row>
    <row r="26" spans="1:35" x14ac:dyDescent="0.25">
      <c r="A26" s="1"/>
      <c r="B26" s="1"/>
      <c r="C26" s="1"/>
    </row>
    <row r="27" spans="1:35" x14ac:dyDescent="0.25">
      <c r="A27" s="1"/>
      <c r="B27" s="1"/>
      <c r="C27" s="1"/>
    </row>
    <row r="28" spans="1:35" x14ac:dyDescent="0.25">
      <c r="A28" s="1"/>
      <c r="B28" s="1"/>
      <c r="C28" s="1"/>
    </row>
    <row r="29" spans="1:35" x14ac:dyDescent="0.25">
      <c r="A29" s="1"/>
      <c r="B29" s="1"/>
      <c r="C29" s="1"/>
    </row>
    <row r="30" spans="1:35" x14ac:dyDescent="0.25">
      <c r="A30" s="1"/>
      <c r="B30" s="1"/>
      <c r="C30" s="1"/>
    </row>
    <row r="31" spans="1:35" x14ac:dyDescent="0.25">
      <c r="A31" s="1"/>
      <c r="B31" s="1"/>
      <c r="C31" s="1"/>
    </row>
    <row r="32" spans="1:35" x14ac:dyDescent="0.25">
      <c r="A32" s="1"/>
      <c r="B32" s="1"/>
      <c r="C32" s="1"/>
    </row>
    <row r="33" spans="1:3" x14ac:dyDescent="0.25">
      <c r="A33" s="1"/>
      <c r="B33" s="1"/>
      <c r="C33" s="1"/>
    </row>
  </sheetData>
  <conditionalFormatting sqref="D12:AH12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CE74D-2642-4BDF-802F-95F98E624999}">
  <sheetPr codeName="Лист3"/>
  <dimension ref="A1:AH39"/>
  <sheetViews>
    <sheetView zoomScale="85" zoomScaleNormal="85" workbookViewId="0"/>
  </sheetViews>
  <sheetFormatPr defaultRowHeight="15" x14ac:dyDescent="0.25"/>
  <cols>
    <col min="10" max="10" width="9.140625" customWidth="1"/>
  </cols>
  <sheetData>
    <row r="1" spans="1:34" ht="18.75" x14ac:dyDescent="0.25">
      <c r="A1" s="3" t="s">
        <v>0</v>
      </c>
      <c r="B1" s="3">
        <v>0.3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</row>
    <row r="2" spans="1:34" ht="18.75" x14ac:dyDescent="0.25">
      <c r="A2" s="3" t="s">
        <v>1</v>
      </c>
      <c r="B2" s="4">
        <f>B1/30</f>
        <v>0.01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1:34" ht="18.75" x14ac:dyDescent="0.25">
      <c r="A3" s="3" t="s">
        <v>2</v>
      </c>
      <c r="B3" s="4">
        <f>(B7*B6*B2^2)/(2*B8)</f>
        <v>0.43483502538071073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4" ht="18.75" x14ac:dyDescent="0.25">
      <c r="A4" s="3" t="s">
        <v>3</v>
      </c>
      <c r="B4" s="3">
        <v>600</v>
      </c>
      <c r="C4" s="2">
        <v>600.07233502538077</v>
      </c>
      <c r="D4" s="2"/>
      <c r="E4" s="2"/>
      <c r="F4" s="1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spans="1:34" ht="18.75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</row>
    <row r="6" spans="1:34" ht="20.25" x14ac:dyDescent="0.25">
      <c r="A6" s="3" t="s">
        <v>7</v>
      </c>
      <c r="B6" s="3">
        <v>385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</row>
    <row r="7" spans="1:34" ht="20.25" x14ac:dyDescent="0.25">
      <c r="A7" s="2" t="s">
        <v>11</v>
      </c>
      <c r="B7" s="3">
        <v>8900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</row>
    <row r="8" spans="1:34" ht="18.75" x14ac:dyDescent="0.25">
      <c r="A8" s="3" t="s">
        <v>12</v>
      </c>
      <c r="B8" s="3">
        <v>394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</row>
    <row r="9" spans="1:34" ht="20.25" x14ac:dyDescent="0.25">
      <c r="A9" s="3" t="s">
        <v>14</v>
      </c>
      <c r="B9" s="3">
        <v>1000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</row>
    <row r="10" spans="1:34" ht="20.25" x14ac:dyDescent="0.25">
      <c r="A10" s="3" t="s">
        <v>15</v>
      </c>
      <c r="B10" s="3">
        <v>500</v>
      </c>
      <c r="C10" s="2"/>
      <c r="D10" s="3">
        <v>1</v>
      </c>
      <c r="E10" s="3">
        <v>2</v>
      </c>
      <c r="F10" s="3">
        <v>3</v>
      </c>
      <c r="G10" s="3">
        <v>4</v>
      </c>
      <c r="H10" s="3">
        <v>5</v>
      </c>
      <c r="I10" s="3">
        <v>6</v>
      </c>
      <c r="J10" s="3">
        <v>7</v>
      </c>
      <c r="K10" s="3">
        <v>8</v>
      </c>
      <c r="L10" s="3">
        <v>9</v>
      </c>
      <c r="M10" s="3">
        <v>10</v>
      </c>
      <c r="N10" s="3">
        <v>11</v>
      </c>
      <c r="O10" s="3">
        <v>12</v>
      </c>
      <c r="P10" s="3">
        <v>13</v>
      </c>
      <c r="Q10" s="3">
        <v>14</v>
      </c>
      <c r="R10" s="3">
        <v>15</v>
      </c>
      <c r="S10" s="3">
        <v>16</v>
      </c>
      <c r="T10" s="3">
        <v>17</v>
      </c>
      <c r="U10" s="3">
        <v>18</v>
      </c>
      <c r="V10" s="3">
        <v>19</v>
      </c>
      <c r="W10" s="3">
        <v>20</v>
      </c>
      <c r="X10" s="3">
        <v>21</v>
      </c>
      <c r="Y10" s="3">
        <v>22</v>
      </c>
      <c r="Z10" s="3">
        <v>23</v>
      </c>
      <c r="AA10" s="3">
        <v>24</v>
      </c>
      <c r="AB10" s="3">
        <v>25</v>
      </c>
      <c r="AC10" s="3">
        <v>26</v>
      </c>
      <c r="AD10" s="3">
        <v>27</v>
      </c>
      <c r="AE10" s="3">
        <v>28</v>
      </c>
      <c r="AF10" s="3">
        <v>29</v>
      </c>
      <c r="AG10" s="3">
        <v>30</v>
      </c>
      <c r="AH10" s="3">
        <v>31</v>
      </c>
    </row>
    <row r="11" spans="1:34" ht="22.5" x14ac:dyDescent="0.25">
      <c r="A11" s="3" t="s">
        <v>13</v>
      </c>
      <c r="B11" s="3">
        <v>-30</v>
      </c>
      <c r="C11" s="2" t="s">
        <v>0</v>
      </c>
      <c r="D11" s="3">
        <v>0</v>
      </c>
      <c r="E11" s="4">
        <f>D11+$B$2</f>
        <v>0.01</v>
      </c>
      <c r="F11" s="4">
        <f t="shared" ref="F11:AH11" si="0">E11+$B$2</f>
        <v>0.02</v>
      </c>
      <c r="G11" s="4">
        <f t="shared" si="0"/>
        <v>0.03</v>
      </c>
      <c r="H11" s="4">
        <f t="shared" si="0"/>
        <v>0.04</v>
      </c>
      <c r="I11" s="4">
        <f t="shared" si="0"/>
        <v>0.05</v>
      </c>
      <c r="J11" s="4">
        <f t="shared" si="0"/>
        <v>6.0000000000000005E-2</v>
      </c>
      <c r="K11" s="4">
        <f t="shared" si="0"/>
        <v>7.0000000000000007E-2</v>
      </c>
      <c r="L11" s="4">
        <f t="shared" si="0"/>
        <v>0.08</v>
      </c>
      <c r="M11" s="4">
        <f t="shared" si="0"/>
        <v>0.09</v>
      </c>
      <c r="N11" s="4">
        <f t="shared" si="0"/>
        <v>9.9999999999999992E-2</v>
      </c>
      <c r="O11" s="4">
        <f t="shared" si="0"/>
        <v>0.10999999999999999</v>
      </c>
      <c r="P11" s="4">
        <f t="shared" si="0"/>
        <v>0.11999999999999998</v>
      </c>
      <c r="Q11" s="4">
        <f t="shared" si="0"/>
        <v>0.12999999999999998</v>
      </c>
      <c r="R11" s="4">
        <f t="shared" si="0"/>
        <v>0.13999999999999999</v>
      </c>
      <c r="S11" s="4">
        <f t="shared" si="0"/>
        <v>0.15</v>
      </c>
      <c r="T11" s="4">
        <f t="shared" si="0"/>
        <v>0.16</v>
      </c>
      <c r="U11" s="4">
        <f t="shared" si="0"/>
        <v>0.17</v>
      </c>
      <c r="V11" s="4">
        <f t="shared" si="0"/>
        <v>0.18000000000000002</v>
      </c>
      <c r="W11" s="4">
        <f t="shared" si="0"/>
        <v>0.19000000000000003</v>
      </c>
      <c r="X11" s="4">
        <f t="shared" si="0"/>
        <v>0.20000000000000004</v>
      </c>
      <c r="Y11" s="4">
        <f t="shared" si="0"/>
        <v>0.21000000000000005</v>
      </c>
      <c r="Z11" s="4">
        <f t="shared" si="0"/>
        <v>0.22000000000000006</v>
      </c>
      <c r="AA11" s="4">
        <f t="shared" si="0"/>
        <v>0.23000000000000007</v>
      </c>
      <c r="AB11" s="4">
        <f t="shared" si="0"/>
        <v>0.24000000000000007</v>
      </c>
      <c r="AC11" s="4">
        <f t="shared" si="0"/>
        <v>0.25000000000000006</v>
      </c>
      <c r="AD11" s="4">
        <f t="shared" si="0"/>
        <v>0.26000000000000006</v>
      </c>
      <c r="AE11" s="4">
        <f t="shared" si="0"/>
        <v>0.27000000000000007</v>
      </c>
      <c r="AF11" s="4">
        <f t="shared" si="0"/>
        <v>0.28000000000000008</v>
      </c>
      <c r="AG11" s="4">
        <f t="shared" si="0"/>
        <v>0.29000000000000009</v>
      </c>
      <c r="AH11" s="4">
        <f t="shared" si="0"/>
        <v>0.3000000000000001</v>
      </c>
    </row>
    <row r="12" spans="1:34" ht="22.5" x14ac:dyDescent="0.25">
      <c r="A12" s="3" t="s">
        <v>16</v>
      </c>
      <c r="B12" s="3">
        <v>10</v>
      </c>
      <c r="C12" s="2" t="s">
        <v>4</v>
      </c>
      <c r="D12" s="3">
        <f>1/(B8+B9*B2)*(B8*E12+B9*B2*B11)</f>
        <v>48.019801980198018</v>
      </c>
      <c r="E12" s="5">
        <f>$B$17</f>
        <v>50</v>
      </c>
      <c r="F12" s="5">
        <f t="shared" ref="F12:AG12" si="1">$B$17</f>
        <v>50</v>
      </c>
      <c r="G12" s="5">
        <f t="shared" si="1"/>
        <v>50</v>
      </c>
      <c r="H12" s="5">
        <f t="shared" si="1"/>
        <v>50</v>
      </c>
      <c r="I12" s="5">
        <f t="shared" si="1"/>
        <v>50</v>
      </c>
      <c r="J12" s="5">
        <f t="shared" si="1"/>
        <v>50</v>
      </c>
      <c r="K12" s="5">
        <f t="shared" si="1"/>
        <v>50</v>
      </c>
      <c r="L12" s="5">
        <f t="shared" si="1"/>
        <v>50</v>
      </c>
      <c r="M12" s="5">
        <f t="shared" si="1"/>
        <v>50</v>
      </c>
      <c r="N12" s="5">
        <f t="shared" si="1"/>
        <v>50</v>
      </c>
      <c r="O12" s="5">
        <f t="shared" si="1"/>
        <v>50</v>
      </c>
      <c r="P12" s="5">
        <f t="shared" si="1"/>
        <v>50</v>
      </c>
      <c r="Q12" s="5">
        <f t="shared" si="1"/>
        <v>50</v>
      </c>
      <c r="R12" s="5">
        <f t="shared" si="1"/>
        <v>50</v>
      </c>
      <c r="S12" s="5">
        <f t="shared" si="1"/>
        <v>50</v>
      </c>
      <c r="T12" s="5">
        <f t="shared" si="1"/>
        <v>50</v>
      </c>
      <c r="U12" s="5">
        <f t="shared" si="1"/>
        <v>50</v>
      </c>
      <c r="V12" s="5">
        <f t="shared" si="1"/>
        <v>50</v>
      </c>
      <c r="W12" s="5">
        <f t="shared" si="1"/>
        <v>50</v>
      </c>
      <c r="X12" s="5">
        <f t="shared" si="1"/>
        <v>50</v>
      </c>
      <c r="Y12" s="5">
        <f t="shared" si="1"/>
        <v>50</v>
      </c>
      <c r="Z12" s="5">
        <f t="shared" si="1"/>
        <v>50</v>
      </c>
      <c r="AA12" s="5">
        <f t="shared" si="1"/>
        <v>50</v>
      </c>
      <c r="AB12" s="5">
        <f t="shared" si="1"/>
        <v>50</v>
      </c>
      <c r="AC12" s="5">
        <f t="shared" si="1"/>
        <v>50</v>
      </c>
      <c r="AD12" s="5">
        <f t="shared" si="1"/>
        <v>50</v>
      </c>
      <c r="AE12" s="5">
        <f t="shared" si="1"/>
        <v>50</v>
      </c>
      <c r="AF12" s="5">
        <f t="shared" si="1"/>
        <v>50</v>
      </c>
      <c r="AG12" s="5">
        <f t="shared" si="1"/>
        <v>50</v>
      </c>
      <c r="AH12" s="3">
        <f>1/(B8-B10*B2)*(B8*AG12+B10*B2*B12)</f>
        <v>50.771208226221077</v>
      </c>
    </row>
    <row r="13" spans="1:34" ht="18.75" x14ac:dyDescent="0.25"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</row>
    <row r="14" spans="1:34" ht="18.75" x14ac:dyDescent="0.25">
      <c r="A14" s="2"/>
      <c r="B14" s="2"/>
      <c r="C14" s="2" t="s">
        <v>5</v>
      </c>
      <c r="D14" s="2"/>
      <c r="E14" s="2">
        <f>E12+(($B$8*$B$3)/($B$7*$B$6))*((F12-2*E12+D12)/($B$2^2))</f>
        <v>49.009900990099013</v>
      </c>
      <c r="F14" s="2">
        <f t="shared" ref="F14:AG14" si="2">F12+(($B$8*$B$3)/($B$7*$B$6))*((G12-2*F12+E12)/($B$2^2))</f>
        <v>50</v>
      </c>
      <c r="G14" s="2">
        <f t="shared" si="2"/>
        <v>50</v>
      </c>
      <c r="H14" s="2">
        <f t="shared" si="2"/>
        <v>50</v>
      </c>
      <c r="I14" s="2">
        <f t="shared" si="2"/>
        <v>50</v>
      </c>
      <c r="J14" s="2">
        <f t="shared" si="2"/>
        <v>50</v>
      </c>
      <c r="K14" s="2">
        <f t="shared" si="2"/>
        <v>50</v>
      </c>
      <c r="L14" s="2">
        <f t="shared" si="2"/>
        <v>50</v>
      </c>
      <c r="M14" s="2">
        <f t="shared" si="2"/>
        <v>50</v>
      </c>
      <c r="N14" s="2">
        <f t="shared" si="2"/>
        <v>50</v>
      </c>
      <c r="O14" s="2">
        <f t="shared" si="2"/>
        <v>50</v>
      </c>
      <c r="P14" s="2">
        <f t="shared" si="2"/>
        <v>50</v>
      </c>
      <c r="Q14" s="2">
        <f t="shared" si="2"/>
        <v>50</v>
      </c>
      <c r="R14" s="2">
        <f t="shared" si="2"/>
        <v>50</v>
      </c>
      <c r="S14" s="2">
        <f t="shared" si="2"/>
        <v>50</v>
      </c>
      <c r="T14" s="2">
        <f t="shared" si="2"/>
        <v>50</v>
      </c>
      <c r="U14" s="2">
        <f t="shared" si="2"/>
        <v>50</v>
      </c>
      <c r="V14" s="2">
        <f t="shared" si="2"/>
        <v>50</v>
      </c>
      <c r="W14" s="2">
        <f t="shared" si="2"/>
        <v>50</v>
      </c>
      <c r="X14" s="2">
        <f t="shared" si="2"/>
        <v>50</v>
      </c>
      <c r="Y14" s="2">
        <f t="shared" si="2"/>
        <v>50</v>
      </c>
      <c r="Z14" s="2">
        <f t="shared" si="2"/>
        <v>50</v>
      </c>
      <c r="AA14" s="2">
        <f t="shared" si="2"/>
        <v>50</v>
      </c>
      <c r="AB14" s="2">
        <f t="shared" si="2"/>
        <v>50</v>
      </c>
      <c r="AC14" s="2">
        <f t="shared" si="2"/>
        <v>50</v>
      </c>
      <c r="AD14" s="2">
        <f t="shared" si="2"/>
        <v>50</v>
      </c>
      <c r="AE14" s="2">
        <f t="shared" si="2"/>
        <v>50</v>
      </c>
      <c r="AF14" s="2">
        <f t="shared" si="2"/>
        <v>50</v>
      </c>
      <c r="AG14" s="2">
        <f t="shared" si="2"/>
        <v>50.385604113110539</v>
      </c>
      <c r="AH14" s="2"/>
    </row>
    <row r="15" spans="1:34" ht="18.75" x14ac:dyDescent="0.25">
      <c r="A15" s="2"/>
      <c r="B15" s="2"/>
    </row>
    <row r="16" spans="1:34" ht="18.75" x14ac:dyDescent="0.25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</row>
    <row r="17" spans="1:34" ht="20.25" x14ac:dyDescent="0.25">
      <c r="A17" s="3" t="s">
        <v>8</v>
      </c>
      <c r="B17" s="3">
        <v>50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</row>
    <row r="18" spans="1:34" ht="18.75" x14ac:dyDescent="0.25"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</row>
    <row r="19" spans="1:34" ht="18.75" x14ac:dyDescent="0.25"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</row>
    <row r="20" spans="1:34" ht="18.75" x14ac:dyDescent="0.25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</row>
    <row r="21" spans="1:34" ht="18.75" x14ac:dyDescent="0.25"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</row>
    <row r="22" spans="1:34" ht="18.75" x14ac:dyDescent="0.25">
      <c r="A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</row>
    <row r="23" spans="1:34" ht="18.75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</row>
    <row r="24" spans="1:34" ht="18.75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</row>
    <row r="25" spans="1:34" ht="18.75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</row>
    <row r="26" spans="1:34" ht="18.75" x14ac:dyDescent="0.25">
      <c r="A26" s="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</row>
    <row r="27" spans="1:3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</row>
    <row r="28" spans="1:3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</row>
    <row r="29" spans="1:3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</row>
    <row r="30" spans="1:3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</row>
    <row r="31" spans="1:3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</row>
    <row r="32" spans="1:3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</row>
    <row r="33" spans="1:3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</row>
    <row r="34" spans="1:34" x14ac:dyDescent="0.25"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</row>
    <row r="35" spans="1:34" x14ac:dyDescent="0.25"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</row>
    <row r="36" spans="1:34" x14ac:dyDescent="0.25"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</row>
    <row r="37" spans="1:34" x14ac:dyDescent="0.25"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</row>
    <row r="38" spans="1:34" x14ac:dyDescent="0.25"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</row>
    <row r="39" spans="1:34" x14ac:dyDescent="0.25"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</row>
  </sheetData>
  <conditionalFormatting sqref="D12:AH12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2F10E-2E5D-4828-89BB-9540A26ECB58}">
  <dimension ref="A1:AH37"/>
  <sheetViews>
    <sheetView tabSelected="1" topLeftCell="B1" zoomScale="85" zoomScaleNormal="85" workbookViewId="0">
      <selection activeCell="B1" sqref="B1"/>
    </sheetView>
  </sheetViews>
  <sheetFormatPr defaultRowHeight="15" x14ac:dyDescent="0.25"/>
  <cols>
    <col min="2" max="2" width="11.85546875" bestFit="1" customWidth="1"/>
    <col min="4" max="4" width="15.7109375" bestFit="1" customWidth="1"/>
    <col min="5" max="5" width="10.85546875" bestFit="1" customWidth="1"/>
    <col min="33" max="33" width="10.85546875" bestFit="1" customWidth="1"/>
  </cols>
  <sheetData>
    <row r="1" spans="1:34" ht="18.75" x14ac:dyDescent="0.25">
      <c r="A1" s="3" t="s">
        <v>0</v>
      </c>
      <c r="B1" s="3">
        <v>0.1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</row>
    <row r="2" spans="1:34" ht="18.75" x14ac:dyDescent="0.25">
      <c r="A2" s="3" t="s">
        <v>1</v>
      </c>
      <c r="B2" s="4">
        <f>B1/30</f>
        <v>3.3333333333333335E-3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1:34" ht="18.75" x14ac:dyDescent="0.25">
      <c r="A3" s="3" t="s">
        <v>2</v>
      </c>
      <c r="B3" s="4">
        <f>(B7*B6*B2^2)/(2*B8)</f>
        <v>0.4333333333333334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4" ht="18.75" x14ac:dyDescent="0.25">
      <c r="A4" s="3" t="s">
        <v>3</v>
      </c>
      <c r="B4" s="3">
        <v>60</v>
      </c>
      <c r="C4" s="2">
        <v>60.233333333333341</v>
      </c>
      <c r="D4" s="2"/>
      <c r="E4" s="2"/>
      <c r="F4" s="1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spans="1:34" ht="18.75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</row>
    <row r="6" spans="1:34" ht="20.25" x14ac:dyDescent="0.25">
      <c r="A6" s="3" t="s">
        <v>7</v>
      </c>
      <c r="B6" s="3">
        <v>460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</row>
    <row r="7" spans="1:34" ht="20.25" x14ac:dyDescent="0.25">
      <c r="A7" s="2" t="s">
        <v>11</v>
      </c>
      <c r="B7" s="3">
        <v>7800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</row>
    <row r="8" spans="1:34" ht="18.75" x14ac:dyDescent="0.25">
      <c r="A8" s="3" t="s">
        <v>12</v>
      </c>
      <c r="B8" s="3">
        <v>46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</row>
    <row r="9" spans="1:34" ht="18.75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</row>
    <row r="10" spans="1:34" ht="18.75" x14ac:dyDescent="0.25">
      <c r="A10" s="2"/>
      <c r="B10" s="2"/>
      <c r="C10" s="2"/>
      <c r="D10" s="3">
        <v>1</v>
      </c>
      <c r="E10" s="3">
        <v>2</v>
      </c>
      <c r="F10" s="3">
        <v>3</v>
      </c>
      <c r="G10" s="3">
        <v>4</v>
      </c>
      <c r="H10" s="3">
        <v>5</v>
      </c>
      <c r="I10" s="3">
        <v>6</v>
      </c>
      <c r="J10" s="3">
        <v>7</v>
      </c>
      <c r="K10" s="3">
        <v>8</v>
      </c>
      <c r="L10" s="3">
        <v>9</v>
      </c>
      <c r="M10" s="3">
        <v>10</v>
      </c>
      <c r="N10" s="3">
        <v>11</v>
      </c>
      <c r="O10" s="3">
        <v>12</v>
      </c>
      <c r="P10" s="3">
        <v>13</v>
      </c>
      <c r="Q10" s="3">
        <v>14</v>
      </c>
      <c r="R10" s="3">
        <v>15</v>
      </c>
      <c r="S10" s="3">
        <v>16</v>
      </c>
      <c r="T10" s="3">
        <v>17</v>
      </c>
      <c r="U10" s="3">
        <v>18</v>
      </c>
      <c r="V10" s="3">
        <v>19</v>
      </c>
      <c r="W10" s="3">
        <v>20</v>
      </c>
      <c r="X10" s="3">
        <v>21</v>
      </c>
      <c r="Y10" s="3">
        <v>22</v>
      </c>
      <c r="Z10" s="3">
        <v>23</v>
      </c>
      <c r="AA10" s="3">
        <v>24</v>
      </c>
      <c r="AB10" s="3">
        <v>25</v>
      </c>
      <c r="AC10" s="3">
        <v>26</v>
      </c>
      <c r="AD10" s="3">
        <v>27</v>
      </c>
      <c r="AE10" s="3">
        <v>28</v>
      </c>
      <c r="AF10" s="3">
        <v>29</v>
      </c>
      <c r="AG10" s="3">
        <v>30</v>
      </c>
      <c r="AH10" s="3">
        <v>31</v>
      </c>
    </row>
    <row r="11" spans="1:34" ht="18.75" x14ac:dyDescent="0.25">
      <c r="A11" s="2"/>
      <c r="B11" s="2"/>
      <c r="C11" s="2" t="s">
        <v>0</v>
      </c>
      <c r="D11" s="3">
        <v>0</v>
      </c>
      <c r="E11" s="4">
        <f>D11+$B$2</f>
        <v>3.3333333333333335E-3</v>
      </c>
      <c r="F11" s="4">
        <f t="shared" ref="F11:AH11" si="0">E11+$B$2</f>
        <v>6.6666666666666671E-3</v>
      </c>
      <c r="G11" s="4">
        <f t="shared" si="0"/>
        <v>0.01</v>
      </c>
      <c r="H11" s="4">
        <f t="shared" si="0"/>
        <v>1.3333333333333334E-2</v>
      </c>
      <c r="I11" s="4">
        <f t="shared" si="0"/>
        <v>1.6666666666666666E-2</v>
      </c>
      <c r="J11" s="4">
        <f t="shared" si="0"/>
        <v>0.02</v>
      </c>
      <c r="K11" s="4">
        <f t="shared" si="0"/>
        <v>2.3333333333333334E-2</v>
      </c>
      <c r="L11" s="4">
        <f t="shared" si="0"/>
        <v>2.6666666666666668E-2</v>
      </c>
      <c r="M11" s="4">
        <f t="shared" si="0"/>
        <v>3.0000000000000002E-2</v>
      </c>
      <c r="N11" s="4">
        <f t="shared" si="0"/>
        <v>3.3333333333333333E-2</v>
      </c>
      <c r="O11" s="4">
        <f t="shared" si="0"/>
        <v>3.6666666666666667E-2</v>
      </c>
      <c r="P11" s="4">
        <f t="shared" si="0"/>
        <v>0.04</v>
      </c>
      <c r="Q11" s="4">
        <f t="shared" si="0"/>
        <v>4.3333333333333335E-2</v>
      </c>
      <c r="R11" s="4">
        <f t="shared" si="0"/>
        <v>4.6666666666666669E-2</v>
      </c>
      <c r="S11" s="4">
        <f t="shared" si="0"/>
        <v>0.05</v>
      </c>
      <c r="T11" s="4">
        <f t="shared" si="0"/>
        <v>5.3333333333333337E-2</v>
      </c>
      <c r="U11" s="4">
        <f t="shared" si="0"/>
        <v>5.6666666666666671E-2</v>
      </c>
      <c r="V11" s="4">
        <f t="shared" si="0"/>
        <v>6.0000000000000005E-2</v>
      </c>
      <c r="W11" s="4">
        <f t="shared" si="0"/>
        <v>6.3333333333333339E-2</v>
      </c>
      <c r="X11" s="4">
        <f t="shared" si="0"/>
        <v>6.6666666666666666E-2</v>
      </c>
      <c r="Y11" s="4">
        <f t="shared" si="0"/>
        <v>6.9999999999999993E-2</v>
      </c>
      <c r="Z11" s="4">
        <f t="shared" si="0"/>
        <v>7.333333333333332E-2</v>
      </c>
      <c r="AA11" s="4">
        <f t="shared" si="0"/>
        <v>7.6666666666666647E-2</v>
      </c>
      <c r="AB11" s="4">
        <f t="shared" si="0"/>
        <v>7.9999999999999974E-2</v>
      </c>
      <c r="AC11" s="4">
        <f t="shared" si="0"/>
        <v>8.3333333333333301E-2</v>
      </c>
      <c r="AD11" s="4">
        <f t="shared" si="0"/>
        <v>8.6666666666666628E-2</v>
      </c>
      <c r="AE11" s="4">
        <f t="shared" si="0"/>
        <v>8.9999999999999955E-2</v>
      </c>
      <c r="AF11" s="4">
        <f t="shared" si="0"/>
        <v>9.3333333333333282E-2</v>
      </c>
      <c r="AG11" s="4">
        <f t="shared" si="0"/>
        <v>9.6666666666666609E-2</v>
      </c>
      <c r="AH11" s="4">
        <f t="shared" si="0"/>
        <v>9.9999999999999936E-2</v>
      </c>
    </row>
    <row r="12" spans="1:34" ht="18.75" x14ac:dyDescent="0.25">
      <c r="A12" s="2"/>
      <c r="B12" s="2"/>
      <c r="C12" s="2" t="s">
        <v>4</v>
      </c>
      <c r="D12" s="3">
        <f>B16</f>
        <v>300</v>
      </c>
      <c r="E12" s="5">
        <v>280.20114262798575</v>
      </c>
      <c r="F12" s="5">
        <v>260.57053452366904</v>
      </c>
      <c r="G12" s="5">
        <v>241.27335396752636</v>
      </c>
      <c r="H12" s="5">
        <v>222.46874067679317</v>
      </c>
      <c r="I12" s="5">
        <v>204.30702925674697</v>
      </c>
      <c r="J12" s="5">
        <v>186.92727013670742</v>
      </c>
      <c r="K12" s="5">
        <v>170.45510875086381</v>
      </c>
      <c r="L12" s="5">
        <v>155.00107463428773</v>
      </c>
      <c r="M12" s="5">
        <v>140.65931099015722</v>
      </c>
      <c r="N12" s="5">
        <v>127.5067536180474</v>
      </c>
      <c r="O12" s="5">
        <v>115.60274732960713</v>
      </c>
      <c r="P12" s="5">
        <v>104.98906943559072</v>
      </c>
      <c r="Q12" s="5">
        <v>95.690314648076594</v>
      </c>
      <c r="R12" s="5">
        <v>87.714584570723446</v>
      </c>
      <c r="S12" s="5">
        <v>81.054418255410752</v>
      </c>
      <c r="T12" s="5">
        <v>75.68789812172092</v>
      </c>
      <c r="U12" s="5">
        <v>71.579867553261167</v>
      </c>
      <c r="V12" s="5">
        <v>68.68320209085141</v>
      </c>
      <c r="W12" s="5">
        <v>66.940084503407604</v>
      </c>
      <c r="X12" s="5">
        <v>66.283244166503039</v>
      </c>
      <c r="Y12" s="5">
        <v>66.637132112902975</v>
      </c>
      <c r="Z12" s="5">
        <v>67.919013891339318</v>
      </c>
      <c r="AA12" s="5">
        <v>70.039972168091296</v>
      </c>
      <c r="AB12" s="5">
        <v>72.905819217013814</v>
      </c>
      <c r="AC12" s="5">
        <v>76.417925689672472</v>
      </c>
      <c r="AD12" s="5">
        <v>80.473976208137344</v>
      </c>
      <c r="AE12" s="5">
        <v>84.968664482862408</v>
      </c>
      <c r="AF12" s="5">
        <v>89.794341128753075</v>
      </c>
      <c r="AG12" s="5">
        <v>94.841626578966242</v>
      </c>
      <c r="AH12" s="3">
        <f>B17</f>
        <v>100</v>
      </c>
    </row>
    <row r="13" spans="1:34" ht="18.75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</row>
    <row r="14" spans="1:34" ht="18.75" x14ac:dyDescent="0.25">
      <c r="A14" s="2"/>
      <c r="B14" s="2"/>
      <c r="C14" s="2" t="s">
        <v>5</v>
      </c>
      <c r="D14" s="2"/>
      <c r="E14" s="2">
        <f t="shared" ref="E14:AF14" si="1">E17*F14+E18</f>
        <v>280.28451209215399</v>
      </c>
      <c r="F14" s="2">
        <f t="shared" si="1"/>
        <v>260.73576311264441</v>
      </c>
      <c r="G14" s="2">
        <f t="shared" si="1"/>
        <v>241.51747131108542</v>
      </c>
      <c r="H14" s="2">
        <f t="shared" si="1"/>
        <v>222.78741419664442</v>
      </c>
      <c r="I14" s="2">
        <f t="shared" si="1"/>
        <v>204.69470412190589</v>
      </c>
      <c r="J14" s="2">
        <f t="shared" si="1"/>
        <v>187.37734377748521</v>
      </c>
      <c r="K14" s="2">
        <f t="shared" si="1"/>
        <v>170.96013071462008</v>
      </c>
      <c r="L14" s="2">
        <f t="shared" si="1"/>
        <v>155.55296157926747</v>
      </c>
      <c r="M14" s="2">
        <f t="shared" si="1"/>
        <v>141.24956633387433</v>
      </c>
      <c r="N14" s="2">
        <f t="shared" si="1"/>
        <v>128.12668177591533</v>
      </c>
      <c r="O14" s="2">
        <f t="shared" si="1"/>
        <v>116.24365353369214</v>
      </c>
      <c r="P14" s="2">
        <f t="shared" si="1"/>
        <v>105.64243769963892</v>
      </c>
      <c r="Q14" s="2">
        <f t="shared" si="1"/>
        <v>96.347958393682063</v>
      </c>
      <c r="R14" s="2">
        <f t="shared" si="1"/>
        <v>88.368766578936132</v>
      </c>
      <c r="S14" s="2">
        <f t="shared" si="1"/>
        <v>81.697938780615559</v>
      </c>
      <c r="T14" s="2">
        <f t="shared" si="1"/>
        <v>76.314152032704555</v>
      </c>
      <c r="U14" s="2">
        <f t="shared" si="1"/>
        <v>72.182873106760752</v>
      </c>
      <c r="V14" s="2">
        <f t="shared" si="1"/>
        <v>69.257605287816148</v>
      </c>
      <c r="W14" s="2">
        <f t="shared" si="1"/>
        <v>67.481143862800991</v>
      </c>
      <c r="X14" s="2">
        <f t="shared" si="1"/>
        <v>66.786801156572579</v>
      </c>
      <c r="Y14" s="2">
        <f t="shared" si="1"/>
        <v>67.099572430483207</v>
      </c>
      <c r="Z14" s="2">
        <f t="shared" si="1"/>
        <v>68.337224339554268</v>
      </c>
      <c r="AA14" s="2">
        <f t="shared" si="1"/>
        <v>70.411297145055215</v>
      </c>
      <c r="AB14" s="2">
        <f t="shared" si="1"/>
        <v>73.228019904484</v>
      </c>
      <c r="AC14" s="2">
        <f t="shared" si="1"/>
        <v>76.689144038853158</v>
      </c>
      <c r="AD14" s="2">
        <f t="shared" si="1"/>
        <v>80.692704871583686</v>
      </c>
      <c r="AE14" s="2">
        <f t="shared" si="1"/>
        <v>85.13372303120687</v>
      </c>
      <c r="AF14" s="2">
        <f t="shared" si="1"/>
        <v>89.904858287518977</v>
      </c>
      <c r="AG14" s="2">
        <f>AG17*AH14+AG18</f>
        <v>94.897027861362858</v>
      </c>
      <c r="AH14" s="2">
        <f>AH12</f>
        <v>100</v>
      </c>
    </row>
    <row r="15" spans="1:34" ht="18.75" x14ac:dyDescent="0.25">
      <c r="A15" s="2"/>
      <c r="B15" s="2"/>
      <c r="C15" s="2" t="s">
        <v>6</v>
      </c>
      <c r="D15" s="2">
        <f>B18</f>
        <v>0</v>
      </c>
      <c r="E15" s="2">
        <f>-$B$8*((E12-D12)/$B$2)</f>
        <v>273224.23173379671</v>
      </c>
      <c r="F15" s="2">
        <f>-$B$8*((F12-E12)/$B$2)</f>
        <v>270902.39183957054</v>
      </c>
      <c r="G15" s="2">
        <f t="shared" ref="G15:AG15" si="2">-$B$8*((G12-F12)/$B$2)</f>
        <v>266301.09167476895</v>
      </c>
      <c r="H15" s="2">
        <f t="shared" si="2"/>
        <v>259503.66341211798</v>
      </c>
      <c r="I15" s="2">
        <f t="shared" si="2"/>
        <v>250631.61759663757</v>
      </c>
      <c r="J15" s="2">
        <f t="shared" si="2"/>
        <v>239840.6758565458</v>
      </c>
      <c r="K15" s="2">
        <f t="shared" si="2"/>
        <v>227315.82712464174</v>
      </c>
      <c r="L15" s="2">
        <f t="shared" si="2"/>
        <v>213265.67080874994</v>
      </c>
      <c r="M15" s="2">
        <f t="shared" si="2"/>
        <v>197916.33828900103</v>
      </c>
      <c r="N15" s="2">
        <f t="shared" si="2"/>
        <v>181505.29173511558</v>
      </c>
      <c r="O15" s="2">
        <f t="shared" si="2"/>
        <v>164275.28678047573</v>
      </c>
      <c r="P15" s="2">
        <f t="shared" si="2"/>
        <v>146468.75493742639</v>
      </c>
      <c r="Q15" s="2">
        <f t="shared" si="2"/>
        <v>128322.81606769495</v>
      </c>
      <c r="R15" s="2">
        <f t="shared" si="2"/>
        <v>110065.07506747343</v>
      </c>
      <c r="S15" s="2">
        <f t="shared" si="2"/>
        <v>91910.295151315164</v>
      </c>
      <c r="T15" s="2">
        <f t="shared" si="2"/>
        <v>74057.977844919675</v>
      </c>
      <c r="U15" s="2">
        <f t="shared" si="2"/>
        <v>56690.821844744598</v>
      </c>
      <c r="V15" s="2">
        <f t="shared" si="2"/>
        <v>39973.983381254649</v>
      </c>
      <c r="W15" s="2">
        <f t="shared" si="2"/>
        <v>24055.022706724514</v>
      </c>
      <c r="X15" s="2">
        <f t="shared" si="2"/>
        <v>9064.3966492830041</v>
      </c>
      <c r="Y15" s="2">
        <f t="shared" si="2"/>
        <v>-4883.6536603191234</v>
      </c>
      <c r="Z15" s="2">
        <f t="shared" si="2"/>
        <v>-17689.968542421535</v>
      </c>
      <c r="AA15" s="2">
        <f t="shared" si="2"/>
        <v>-29269.224219177289</v>
      </c>
      <c r="AB15" s="2">
        <f t="shared" si="2"/>
        <v>-39548.689275130746</v>
      </c>
      <c r="AC15" s="2">
        <f t="shared" si="2"/>
        <v>-48467.06932268948</v>
      </c>
      <c r="AD15" s="2">
        <f t="shared" si="2"/>
        <v>-55973.497154815232</v>
      </c>
      <c r="AE15" s="2">
        <f t="shared" si="2"/>
        <v>-62026.698191205876</v>
      </c>
      <c r="AF15" s="2">
        <f t="shared" si="2"/>
        <v>-66594.337713291199</v>
      </c>
      <c r="AG15" s="2">
        <f t="shared" si="2"/>
        <v>-69652.539212941701</v>
      </c>
      <c r="AH15" s="2"/>
    </row>
    <row r="16" spans="1:34" ht="20.25" x14ac:dyDescent="0.25">
      <c r="A16" s="3" t="s">
        <v>8</v>
      </c>
      <c r="B16" s="3">
        <v>300</v>
      </c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</row>
    <row r="17" spans="1:34" ht="20.25" x14ac:dyDescent="0.25">
      <c r="A17" s="3" t="s">
        <v>9</v>
      </c>
      <c r="B17" s="3">
        <v>100</v>
      </c>
      <c r="C17" s="2" t="s">
        <v>20</v>
      </c>
      <c r="D17" s="2">
        <v>0</v>
      </c>
      <c r="E17" s="2">
        <f>$B$19/($B$20-$B$21*D17)</f>
        <v>0.25</v>
      </c>
      <c r="F17" s="2">
        <f t="shared" ref="F17:AG17" si="3">$B$19/($B$20-$B$21*E17)</f>
        <v>0.26666666666666666</v>
      </c>
      <c r="G17" s="2">
        <f t="shared" si="3"/>
        <v>0.26785714285714285</v>
      </c>
      <c r="H17" s="2">
        <f t="shared" si="3"/>
        <v>0.26794258373205743</v>
      </c>
      <c r="I17" s="2">
        <f t="shared" si="3"/>
        <v>0.26794871794871794</v>
      </c>
      <c r="J17" s="2">
        <f t="shared" si="3"/>
        <v>0.26794915836482308</v>
      </c>
      <c r="K17" s="2">
        <f t="shared" si="3"/>
        <v>0.26794918998527245</v>
      </c>
      <c r="L17" s="2">
        <f t="shared" si="3"/>
        <v>0.26794919225551855</v>
      </c>
      <c r="M17" s="2">
        <f t="shared" si="3"/>
        <v>0.26794919241851489</v>
      </c>
      <c r="N17" s="2">
        <f t="shared" si="3"/>
        <v>0.26794919243021753</v>
      </c>
      <c r="O17" s="2">
        <f t="shared" si="3"/>
        <v>0.26794919243105775</v>
      </c>
      <c r="P17" s="2">
        <f t="shared" si="3"/>
        <v>0.26794919243111803</v>
      </c>
      <c r="Q17" s="2">
        <f t="shared" si="3"/>
        <v>0.26794919243112236</v>
      </c>
      <c r="R17" s="2">
        <f t="shared" si="3"/>
        <v>0.2679491924311227</v>
      </c>
      <c r="S17" s="2">
        <f t="shared" si="3"/>
        <v>0.2679491924311227</v>
      </c>
      <c r="T17" s="2">
        <f t="shared" si="3"/>
        <v>0.2679491924311227</v>
      </c>
      <c r="U17" s="2">
        <f t="shared" si="3"/>
        <v>0.2679491924311227</v>
      </c>
      <c r="V17" s="2">
        <f t="shared" si="3"/>
        <v>0.2679491924311227</v>
      </c>
      <c r="W17" s="2">
        <f t="shared" si="3"/>
        <v>0.2679491924311227</v>
      </c>
      <c r="X17" s="2">
        <f t="shared" si="3"/>
        <v>0.2679491924311227</v>
      </c>
      <c r="Y17" s="2">
        <f t="shared" si="3"/>
        <v>0.2679491924311227</v>
      </c>
      <c r="Z17" s="2">
        <f t="shared" si="3"/>
        <v>0.2679491924311227</v>
      </c>
      <c r="AA17" s="2">
        <f t="shared" si="3"/>
        <v>0.2679491924311227</v>
      </c>
      <c r="AB17" s="2">
        <f t="shared" si="3"/>
        <v>0.2679491924311227</v>
      </c>
      <c r="AC17" s="2">
        <f t="shared" si="3"/>
        <v>0.2679491924311227</v>
      </c>
      <c r="AD17" s="2">
        <f t="shared" si="3"/>
        <v>0.2679491924311227</v>
      </c>
      <c r="AE17" s="2">
        <f t="shared" si="3"/>
        <v>0.2679491924311227</v>
      </c>
      <c r="AF17" s="2">
        <f t="shared" si="3"/>
        <v>0.2679491924311227</v>
      </c>
      <c r="AG17" s="2">
        <f t="shared" si="3"/>
        <v>0.2679491924311227</v>
      </c>
      <c r="AH17" s="2"/>
    </row>
    <row r="18" spans="1:34" ht="18.75" x14ac:dyDescent="0.25">
      <c r="C18" s="2" t="s">
        <v>21</v>
      </c>
      <c r="D18" s="2">
        <f>D12</f>
        <v>300</v>
      </c>
      <c r="E18" s="2">
        <f>(D18*$B$21-E19)/($B$20-$B$21*D17)</f>
        <v>215.1005713139929</v>
      </c>
      <c r="F18" s="2">
        <f t="shared" ref="F18:AG18" si="4">(E18*$B$21-F19)/($B$20-$B$21*E17)</f>
        <v>196.33110409635498</v>
      </c>
      <c r="G18" s="2">
        <f t="shared" si="4"/>
        <v>181.84227107984137</v>
      </c>
      <c r="H18" s="2">
        <f t="shared" si="4"/>
        <v>167.94098629795192</v>
      </c>
      <c r="I18" s="2">
        <f t="shared" si="4"/>
        <v>154.48718508409254</v>
      </c>
      <c r="J18" s="2">
        <f t="shared" si="4"/>
        <v>141.56872063856261</v>
      </c>
      <c r="K18" s="2">
        <f t="shared" si="4"/>
        <v>129.27984065964515</v>
      </c>
      <c r="L18" s="2">
        <f t="shared" si="4"/>
        <v>117.70525437366356</v>
      </c>
      <c r="M18" s="2">
        <f t="shared" si="4"/>
        <v>106.91812542475377</v>
      </c>
      <c r="N18" s="2">
        <f t="shared" si="4"/>
        <v>96.979288686424511</v>
      </c>
      <c r="O18" s="2">
        <f t="shared" si="4"/>
        <v>87.936847665625564</v>
      </c>
      <c r="P18" s="2">
        <f t="shared" si="4"/>
        <v>79.826080055664846</v>
      </c>
      <c r="Q18" s="2">
        <f t="shared" si="4"/>
        <v>72.669618752721775</v>
      </c>
      <c r="R18" s="2">
        <f t="shared" si="4"/>
        <v>66.477869859382892</v>
      </c>
      <c r="S18" s="2">
        <f t="shared" si="4"/>
        <v>61.249623372386452</v>
      </c>
      <c r="T18" s="2">
        <f t="shared" si="4"/>
        <v>56.972809476389799</v>
      </c>
      <c r="U18" s="2">
        <f t="shared" si="4"/>
        <v>53.625353700176966</v>
      </c>
      <c r="V18" s="2">
        <f t="shared" si="4"/>
        <v>51.176087285450215</v>
      </c>
      <c r="W18" s="2">
        <f t="shared" si="4"/>
        <v>49.585674427839393</v>
      </c>
      <c r="X18" s="2">
        <f t="shared" si="4"/>
        <v>48.807524911350974</v>
      </c>
      <c r="Y18" s="2">
        <f t="shared" si="4"/>
        <v>48.788668355715174</v>
      </c>
      <c r="Z18" s="2">
        <f t="shared" si="4"/>
        <v>49.470574131508911</v>
      </c>
      <c r="AA18" s="2">
        <f t="shared" si="4"/>
        <v>50.789908348318555</v>
      </c>
      <c r="AB18" s="2">
        <f t="shared" si="4"/>
        <v>52.679225691039257</v>
      </c>
      <c r="AC18" s="2">
        <f t="shared" si="4"/>
        <v>55.067598933429394</v>
      </c>
      <c r="AD18" s="2">
        <f t="shared" si="4"/>
        <v>57.881192536716931</v>
      </c>
      <c r="AE18" s="2">
        <f t="shared" si="4"/>
        <v>61.043788857431636</v>
      </c>
      <c r="AF18" s="2">
        <f t="shared" si="4"/>
        <v>64.477276307953048</v>
      </c>
      <c r="AG18" s="2">
        <f t="shared" si="4"/>
        <v>68.102108618250597</v>
      </c>
      <c r="AH18" s="2"/>
    </row>
    <row r="19" spans="1:34" ht="18.75" x14ac:dyDescent="0.25">
      <c r="A19" s="3" t="s">
        <v>17</v>
      </c>
      <c r="B19" s="3">
        <f>B8/B2^2</f>
        <v>4139999.9999999991</v>
      </c>
      <c r="C19" s="2" t="s">
        <v>22</v>
      </c>
      <c r="D19" s="2">
        <f>-(($B$7*$B$6)/$B$3)*D12</f>
        <v>-2483999999.9999995</v>
      </c>
      <c r="E19" s="2">
        <f t="shared" ref="E19:AH19" si="5">-(($B$7*$B$6)/$B$3)*E12</f>
        <v>-2320065460.9597216</v>
      </c>
      <c r="F19" s="2">
        <f t="shared" si="5"/>
        <v>-2157524025.8559794</v>
      </c>
      <c r="G19" s="2">
        <f t="shared" si="5"/>
        <v>-1997743370.8511181</v>
      </c>
      <c r="H19" s="2">
        <f t="shared" si="5"/>
        <v>-1842041172.8038473</v>
      </c>
      <c r="I19" s="2">
        <f t="shared" si="5"/>
        <v>-1691662202.2458646</v>
      </c>
      <c r="J19" s="2">
        <f t="shared" si="5"/>
        <v>-1547757796.7319372</v>
      </c>
      <c r="K19" s="2">
        <f t="shared" si="5"/>
        <v>-1411368300.4571521</v>
      </c>
      <c r="L19" s="2">
        <f t="shared" si="5"/>
        <v>-1283408897.9719024</v>
      </c>
      <c r="M19" s="2">
        <f t="shared" si="5"/>
        <v>-1164659094.9985018</v>
      </c>
      <c r="N19" s="2">
        <f t="shared" si="5"/>
        <v>-1055755919.9574324</v>
      </c>
      <c r="O19" s="2">
        <f t="shared" si="5"/>
        <v>-957190747.88914692</v>
      </c>
      <c r="P19" s="2">
        <f t="shared" si="5"/>
        <v>-869309494.92669106</v>
      </c>
      <c r="Q19" s="2">
        <f t="shared" si="5"/>
        <v>-792315805.28607416</v>
      </c>
      <c r="R19" s="2">
        <f t="shared" si="5"/>
        <v>-726276760.24559009</v>
      </c>
      <c r="S19" s="2">
        <f t="shared" si="5"/>
        <v>-671130583.15480101</v>
      </c>
      <c r="T19" s="2">
        <f t="shared" si="5"/>
        <v>-626695796.44784915</v>
      </c>
      <c r="U19" s="2">
        <f t="shared" si="5"/>
        <v>-592681303.34100235</v>
      </c>
      <c r="V19" s="2">
        <f t="shared" si="5"/>
        <v>-568696913.31224966</v>
      </c>
      <c r="W19" s="2">
        <f t="shared" si="5"/>
        <v>-554263899.6882149</v>
      </c>
      <c r="X19" s="2">
        <f t="shared" si="5"/>
        <v>-548825261.69864511</v>
      </c>
      <c r="Y19" s="2">
        <f t="shared" si="5"/>
        <v>-551755453.89483654</v>
      </c>
      <c r="Z19" s="2">
        <f t="shared" si="5"/>
        <v>-562369435.02028954</v>
      </c>
      <c r="AA19" s="2">
        <f t="shared" si="5"/>
        <v>-579930969.55179584</v>
      </c>
      <c r="AB19" s="2">
        <f t="shared" si="5"/>
        <v>-603660183.11687434</v>
      </c>
      <c r="AC19" s="2">
        <f t="shared" si="5"/>
        <v>-632740424.71048796</v>
      </c>
      <c r="AD19" s="2">
        <f t="shared" si="5"/>
        <v>-666324523.00337708</v>
      </c>
      <c r="AE19" s="2">
        <f t="shared" si="5"/>
        <v>-703540541.91810071</v>
      </c>
      <c r="AF19" s="2">
        <f t="shared" si="5"/>
        <v>-743497144.54607534</v>
      </c>
      <c r="AG19" s="2">
        <f t="shared" si="5"/>
        <v>-785288668.07384038</v>
      </c>
      <c r="AH19" s="2"/>
    </row>
    <row r="20" spans="1:34" ht="18.75" x14ac:dyDescent="0.25">
      <c r="A20" s="3" t="s">
        <v>18</v>
      </c>
      <c r="B20" s="3">
        <f>(2*B8)/B2^2+(B7*B6)/B3</f>
        <v>16559999.999999996</v>
      </c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</row>
    <row r="21" spans="1:34" ht="18.75" x14ac:dyDescent="0.25">
      <c r="A21" s="3" t="s">
        <v>19</v>
      </c>
      <c r="B21" s="3">
        <f>B19</f>
        <v>4139999.9999999991</v>
      </c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</row>
    <row r="22" spans="1:34" ht="18.75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</row>
    <row r="23" spans="1:34" ht="18.75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</row>
    <row r="24" spans="1:34" ht="18.75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</row>
    <row r="25" spans="1:34" ht="18.75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</row>
    <row r="26" spans="1:3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</row>
    <row r="27" spans="1:3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</row>
    <row r="28" spans="1:3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</row>
    <row r="29" spans="1:3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</row>
    <row r="30" spans="1:3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</row>
    <row r="31" spans="1:3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</row>
    <row r="32" spans="1:3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</row>
    <row r="33" spans="1:3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</row>
    <row r="34" spans="1:34" x14ac:dyDescent="0.25"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</row>
    <row r="35" spans="1:34" x14ac:dyDescent="0.25"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</row>
    <row r="36" spans="1:34" x14ac:dyDescent="0.25"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</row>
    <row r="37" spans="1:34" x14ac:dyDescent="0.25"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</row>
  </sheetData>
  <conditionalFormatting sqref="D12:AH12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Явная схема ГУ 1</vt:lpstr>
      <vt:lpstr>Явная схема ГУ 2</vt:lpstr>
      <vt:lpstr>Явная схема ГУ 3</vt:lpstr>
      <vt:lpstr>Неявная схема ГУ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Tumanov</dc:creator>
  <cp:lastModifiedBy>Alexander Tumanov</cp:lastModifiedBy>
  <dcterms:created xsi:type="dcterms:W3CDTF">2021-09-17T04:04:57Z</dcterms:created>
  <dcterms:modified xsi:type="dcterms:W3CDTF">2021-10-12T15:28:23Z</dcterms:modified>
</cp:coreProperties>
</file>