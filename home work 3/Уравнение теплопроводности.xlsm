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15D2120F-CB27-4992-848F-1EFA73DD626C}" xr6:coauthVersionLast="47" xr6:coauthVersionMax="47" xr10:uidLastSave="{00000000-0000-0000-0000-000000000000}"/>
  <bookViews>
    <workbookView xWindow="-120" yWindow="-120" windowWidth="29040" windowHeight="15840" activeTab="3" xr2:uid="{3F025F98-E8FA-463E-B119-B15D64B7F0B2}"/>
  </bookViews>
  <sheets>
    <sheet name="Явная схема ГУ 1" sheetId="2" r:id="rId1"/>
    <sheet name="Явная схема ГУ 2" sheetId="1" r:id="rId2"/>
    <sheet name="Явная схема ГУ 3" sheetId="3" r:id="rId3"/>
    <sheet name="Неявная схема ГУ 1" sheetId="4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3" l="1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 s="1"/>
  <c r="E12" i="3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E12" i="1"/>
  <c r="F15" i="1" s="1"/>
  <c r="AH15" i="1"/>
  <c r="B20" i="4"/>
  <c r="B21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4" i="4"/>
  <c r="D18" i="4"/>
  <c r="D19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B19" i="4"/>
  <c r="AH12" i="4"/>
  <c r="D12" i="4"/>
  <c r="B2" i="4"/>
  <c r="E11" i="4" s="1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D12" i="3"/>
  <c r="AH12" i="1" l="1"/>
  <c r="E17" i="4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E18" i="4"/>
  <c r="B3" i="4"/>
  <c r="F18" i="4" l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G14" i="4" s="1"/>
  <c r="AF14" i="4" s="1"/>
  <c r="AE14" i="4" s="1"/>
  <c r="AD14" i="4" s="1"/>
  <c r="AC14" i="4" s="1"/>
  <c r="AB14" i="4" s="1"/>
  <c r="AA14" i="4" s="1"/>
  <c r="Z14" i="4" s="1"/>
  <c r="Y14" i="4" s="1"/>
  <c r="X14" i="4" s="1"/>
  <c r="W14" i="4" s="1"/>
  <c r="V14" i="4" s="1"/>
  <c r="U14" i="4" s="1"/>
  <c r="T14" i="4" s="1"/>
  <c r="S14" i="4" s="1"/>
  <c r="R14" i="4" s="1"/>
  <c r="Q14" i="4" s="1"/>
  <c r="P14" i="4" s="1"/>
  <c r="O14" i="4" s="1"/>
  <c r="N14" i="4" s="1"/>
  <c r="M14" i="4" s="1"/>
  <c r="L14" i="4" s="1"/>
  <c r="K14" i="4" s="1"/>
  <c r="J14" i="4" s="1"/>
  <c r="I14" i="4" s="1"/>
  <c r="H14" i="4" s="1"/>
  <c r="G14" i="4" s="1"/>
  <c r="F14" i="4" s="1"/>
  <c r="E14" i="4" s="1"/>
  <c r="E14" i="2"/>
  <c r="B2" i="3"/>
  <c r="D12" i="2"/>
  <c r="E11" i="3" l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J14" i="3" l="1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E15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<sst xmlns="http://schemas.openxmlformats.org/spreadsheetml/2006/main" count="60" uniqueCount="24">
  <si>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</si>
  <si>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</si>
  <si>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</si>
  <si>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</si>
  <si>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</si>
  <si>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</si>
  <si>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</si>
  <si>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</si>
  <si>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</si>
  <si>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</si>
  <si>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</si>
  <si>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</si>
  <si>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</si>
  <si>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</si>
  <si>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</si>
  <si>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</si>
  <si>
    <t>A</t>
  </si>
  <si>
    <t>B</t>
  </si>
  <si>
    <t>C</t>
  </si>
  <si>
    <t>α</t>
  </si>
  <si>
    <t>β</t>
  </si>
  <si>
    <t>F</t>
  </si>
  <si>
    <r>
      <t>q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</si>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</sst>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2'!$D$12:$AH$12</c:f>
              <c:numCache>
                <c:formatCode>0.00</c:formatCode>
                <c:ptCount val="31"/>
                <c:pt idx="0" formatCode="General">
                  <c:v>103.62318840579711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 formatCode="General">
                  <c:v>103.62318840579711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'Явная схема ГУ 3'!$D$12:$AH$12</c:f>
              <c:numCache>
                <c:formatCode>0.00</c:formatCode>
                <c:ptCount val="31"/>
                <c:pt idx="0" formatCode="General">
                  <c:v>48.019801980198018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 formatCode="General">
                  <c:v>50.771208226221077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ГУ 1'!$D$11:$AH$11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CC-46FF-BE29-64CCE0890F7C}"/>
            </c:ext>
          </c:extLst>
        </c:ser>
        <c:ser>
          <c:idx val="1"/>
          <c:order val="1"/>
          <c:tx>
            <c:v>Явная схема</c:v>
          </c:tx>
          <c:spPr>
            <a:ln w="3810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CC-46FF-BE29-64CCE089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14</xdr:row>
      <xdr:rowOff>421</xdr:rowOff>
    </xdr:from>
    <xdr:to>
      <xdr:col>11</xdr:col>
      <xdr:colOff>0</xdr:colOff>
      <xdr:row>37</xdr:row>
      <xdr:rowOff>11206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10099" y="3339774"/>
          <a:ext cx="4846195" cy="4930167"/>
          <a:chOff x="1867159" y="4887257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7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189722" y="9331430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189722" y="9331430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21291</xdr:colOff>
          <xdr:row>2</xdr:row>
          <xdr:rowOff>1</xdr:rowOff>
        </xdr:from>
        <xdr:to>
          <xdr:col>17</xdr:col>
          <xdr:colOff>597834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560640-3FB0-4B6F-AF9B-8EFED4F7C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14568</xdr:colOff>
          <xdr:row>2</xdr:row>
          <xdr:rowOff>4483</xdr:rowOff>
        </xdr:from>
        <xdr:to>
          <xdr:col>14</xdr:col>
          <xdr:colOff>591110</xdr:colOff>
          <xdr:row>4</xdr:row>
          <xdr:rowOff>20732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4E0BE39-E253-4DC6-9EA8-50F4CC131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420</xdr:rowOff>
    </xdr:from>
    <xdr:to>
      <xdr:col>11</xdr:col>
      <xdr:colOff>0</xdr:colOff>
      <xdr:row>38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48971" y="3575096"/>
          <a:ext cx="4840941" cy="4896551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12326</xdr:colOff>
          <xdr:row>1</xdr:row>
          <xdr:rowOff>224676</xdr:rowOff>
        </xdr:from>
        <xdr:to>
          <xdr:col>15</xdr:col>
          <xdr:colOff>0</xdr:colOff>
          <xdr:row>4</xdr:row>
          <xdr:rowOff>11205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602877</xdr:colOff>
          <xdr:row>2</xdr:row>
          <xdr:rowOff>3362</xdr:rowOff>
        </xdr:from>
        <xdr:to>
          <xdr:col>17</xdr:col>
          <xdr:colOff>593911</xdr:colOff>
          <xdr:row>3</xdr:row>
          <xdr:rowOff>224117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232941</xdr:rowOff>
    </xdr:from>
    <xdr:to>
      <xdr:col>11</xdr:col>
      <xdr:colOff>0</xdr:colOff>
      <xdr:row>37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5353" y="3493853"/>
          <a:ext cx="4840941" cy="494417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0</xdr:rowOff>
        </xdr:from>
        <xdr:to>
          <xdr:col>17</xdr:col>
          <xdr:colOff>600075</xdr:colOff>
          <xdr:row>3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F215DDB-9D19-48ED-BC18-BDA22E999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14</xdr:col>
          <xdr:colOff>590550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703FA1F-2F22-45C5-97C5-019293F83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4831</xdr:colOff>
      <xdr:row>19</xdr:row>
      <xdr:rowOff>2660</xdr:rowOff>
    </xdr:from>
    <xdr:to>
      <xdr:col>21</xdr:col>
      <xdr:colOff>0</xdr:colOff>
      <xdr:row>47</xdr:row>
      <xdr:rowOff>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1028549F-E4A3-492C-9DB0-CCF806399853}"/>
            </a:ext>
          </a:extLst>
        </xdr:cNvPr>
        <xdr:cNvGrpSpPr/>
      </xdr:nvGrpSpPr>
      <xdr:grpSpPr>
        <a:xfrm>
          <a:off x="2018688" y="4710731"/>
          <a:ext cx="11561241" cy="5657912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46F77246-FBFE-4881-8612-DE0146DA1A7B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8D2F4B5-3D90-4218-BC38-53F495EAFA16}"/>
                  </a:ext>
                </a:extLst>
              </xdr:cNvPr>
              <xdr:cNvSpPr txBox="1"/>
            </xdr:nvSpPr>
            <xdr:spPr>
              <a:xfrm>
                <a:off x="6301422" y="9360327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8D2F4B5-3D90-4218-BC38-53F495EAFA16}"/>
                  </a:ext>
                </a:extLst>
              </xdr:cNvPr>
              <xdr:cNvSpPr txBox="1"/>
            </xdr:nvSpPr>
            <xdr:spPr>
              <a:xfrm>
                <a:off x="6301422" y="9360327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0</xdr:rowOff>
        </xdr:from>
        <xdr:to>
          <xdr:col>18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9E37011-307E-479A-A29D-57254A8F0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0</xdr:rowOff>
        </xdr:from>
        <xdr:to>
          <xdr:col>14</xdr:col>
          <xdr:colOff>602796</xdr:colOff>
          <xdr:row>4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AF4C8BB-4D77-42DE-849B-0C8ED304B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2" sqref="E12:AG12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terate">
                <anchor moveWithCells="1">
                  <from>
                    <xdr:col>16</xdr:col>
                    <xdr:colOff>19050</xdr:colOff>
                    <xdr:row>2</xdr:row>
                    <xdr:rowOff>0</xdr:rowOff>
                  </from>
                  <to>
                    <xdr:col>17</xdr:col>
                    <xdr:colOff>600075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ard_0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P7" sqref="P7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1000</v>
      </c>
      <c r="C4" s="2">
        <v>92.733333333333348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103.62318840579711</v>
      </c>
      <c r="E12" s="5">
        <f>$B$17</f>
        <v>100</v>
      </c>
      <c r="F12" s="5">
        <f t="shared" ref="F12:AG12" si="1">$B$17</f>
        <v>100</v>
      </c>
      <c r="G12" s="5">
        <f t="shared" si="1"/>
        <v>100</v>
      </c>
      <c r="H12" s="5">
        <f t="shared" si="1"/>
        <v>100</v>
      </c>
      <c r="I12" s="5">
        <f t="shared" si="1"/>
        <v>100</v>
      </c>
      <c r="J12" s="5">
        <f t="shared" si="1"/>
        <v>100</v>
      </c>
      <c r="K12" s="5">
        <f t="shared" si="1"/>
        <v>100</v>
      </c>
      <c r="L12" s="5">
        <f t="shared" si="1"/>
        <v>100</v>
      </c>
      <c r="M12" s="5">
        <f t="shared" si="1"/>
        <v>100</v>
      </c>
      <c r="N12" s="5">
        <f t="shared" si="1"/>
        <v>100</v>
      </c>
      <c r="O12" s="5">
        <f t="shared" si="1"/>
        <v>100</v>
      </c>
      <c r="P12" s="5">
        <f t="shared" si="1"/>
        <v>100</v>
      </c>
      <c r="Q12" s="5">
        <f t="shared" si="1"/>
        <v>100</v>
      </c>
      <c r="R12" s="5">
        <f t="shared" si="1"/>
        <v>100</v>
      </c>
      <c r="S12" s="5">
        <f t="shared" si="1"/>
        <v>100</v>
      </c>
      <c r="T12" s="5">
        <f t="shared" si="1"/>
        <v>100</v>
      </c>
      <c r="U12" s="5">
        <f t="shared" si="1"/>
        <v>100</v>
      </c>
      <c r="V12" s="5">
        <f t="shared" si="1"/>
        <v>100</v>
      </c>
      <c r="W12" s="5">
        <f t="shared" si="1"/>
        <v>100</v>
      </c>
      <c r="X12" s="5">
        <f t="shared" si="1"/>
        <v>100</v>
      </c>
      <c r="Y12" s="5">
        <f t="shared" si="1"/>
        <v>100</v>
      </c>
      <c r="Z12" s="5">
        <f t="shared" si="1"/>
        <v>100</v>
      </c>
      <c r="AA12" s="5">
        <f t="shared" si="1"/>
        <v>100</v>
      </c>
      <c r="AB12" s="5">
        <f t="shared" si="1"/>
        <v>100</v>
      </c>
      <c r="AC12" s="5">
        <f t="shared" si="1"/>
        <v>100</v>
      </c>
      <c r="AD12" s="5">
        <f t="shared" si="1"/>
        <v>100</v>
      </c>
      <c r="AE12" s="5">
        <f t="shared" si="1"/>
        <v>100</v>
      </c>
      <c r="AF12" s="5">
        <f t="shared" si="1"/>
        <v>100</v>
      </c>
      <c r="AG12" s="5">
        <f t="shared" si="1"/>
        <v>100</v>
      </c>
      <c r="AH12" s="3">
        <f>(AH15/B8)*B2+E12</f>
        <v>103.62318840579711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101.81159420289856</v>
      </c>
      <c r="F14" s="2">
        <f t="shared" ref="F14:AG14" si="2">F12+(($B$8*$B$3)/($B$7*$B$6))*((G12-2*F12+E12)/($B$2^2))</f>
        <v>100</v>
      </c>
      <c r="G14" s="2">
        <f t="shared" si="2"/>
        <v>100</v>
      </c>
      <c r="H14" s="2">
        <f t="shared" si="2"/>
        <v>100</v>
      </c>
      <c r="I14" s="2">
        <f t="shared" si="2"/>
        <v>100</v>
      </c>
      <c r="J14" s="2">
        <f t="shared" si="2"/>
        <v>100</v>
      </c>
      <c r="K14" s="2">
        <f t="shared" si="2"/>
        <v>100</v>
      </c>
      <c r="L14" s="2">
        <f t="shared" si="2"/>
        <v>100</v>
      </c>
      <c r="M14" s="2">
        <f t="shared" si="2"/>
        <v>100</v>
      </c>
      <c r="N14" s="2">
        <f t="shared" si="2"/>
        <v>100</v>
      </c>
      <c r="O14" s="2">
        <f t="shared" si="2"/>
        <v>100</v>
      </c>
      <c r="P14" s="2">
        <f t="shared" si="2"/>
        <v>100</v>
      </c>
      <c r="Q14" s="2">
        <f t="shared" si="2"/>
        <v>100</v>
      </c>
      <c r="R14" s="2">
        <f t="shared" si="2"/>
        <v>100</v>
      </c>
      <c r="S14" s="2">
        <f t="shared" si="2"/>
        <v>100</v>
      </c>
      <c r="T14" s="2">
        <f t="shared" si="2"/>
        <v>100</v>
      </c>
      <c r="U14" s="2">
        <f t="shared" si="2"/>
        <v>100</v>
      </c>
      <c r="V14" s="2">
        <f t="shared" si="2"/>
        <v>100</v>
      </c>
      <c r="W14" s="2">
        <f t="shared" si="2"/>
        <v>100</v>
      </c>
      <c r="X14" s="2">
        <f t="shared" si="2"/>
        <v>100</v>
      </c>
      <c r="Y14" s="2">
        <f t="shared" si="2"/>
        <v>100</v>
      </c>
      <c r="Z14" s="2">
        <f t="shared" si="2"/>
        <v>100</v>
      </c>
      <c r="AA14" s="2">
        <f t="shared" si="2"/>
        <v>100</v>
      </c>
      <c r="AB14" s="2">
        <f t="shared" si="2"/>
        <v>100</v>
      </c>
      <c r="AC14" s="2">
        <f t="shared" si="2"/>
        <v>100</v>
      </c>
      <c r="AD14" s="2">
        <f t="shared" si="2"/>
        <v>100</v>
      </c>
      <c r="AE14" s="2">
        <f t="shared" si="2"/>
        <v>100</v>
      </c>
      <c r="AF14" s="2">
        <f t="shared" si="2"/>
        <v>100</v>
      </c>
      <c r="AG14" s="2">
        <f t="shared" si="2"/>
        <v>101.81159420289856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50000</v>
      </c>
      <c r="E15" s="2">
        <f>-$B$8*((E12-D12)/$B$2)</f>
        <v>50000.000000000095</v>
      </c>
      <c r="F15" s="2">
        <f>-$B$8*((F12-E12)/$B$2)</f>
        <v>0</v>
      </c>
      <c r="G15" s="2">
        <f t="shared" ref="G15:AG15" si="3">-$B$8*((G12-F12)/$B$2)</f>
        <v>0</v>
      </c>
      <c r="H15" s="2">
        <f t="shared" si="3"/>
        <v>0</v>
      </c>
      <c r="I15" s="2">
        <f t="shared" si="3"/>
        <v>0</v>
      </c>
      <c r="J15" s="2">
        <f t="shared" si="3"/>
        <v>0</v>
      </c>
      <c r="K15" s="2">
        <f t="shared" si="3"/>
        <v>0</v>
      </c>
      <c r="L15" s="2">
        <f t="shared" si="3"/>
        <v>0</v>
      </c>
      <c r="M15" s="2">
        <f t="shared" si="3"/>
        <v>0</v>
      </c>
      <c r="N15" s="2">
        <f t="shared" si="3"/>
        <v>0</v>
      </c>
      <c r="O15" s="2">
        <f t="shared" si="3"/>
        <v>0</v>
      </c>
      <c r="P15" s="2">
        <f t="shared" si="3"/>
        <v>0</v>
      </c>
      <c r="Q15" s="2">
        <f t="shared" si="3"/>
        <v>0</v>
      </c>
      <c r="R15" s="2">
        <f t="shared" si="3"/>
        <v>0</v>
      </c>
      <c r="S15" s="2">
        <f t="shared" si="3"/>
        <v>0</v>
      </c>
      <c r="T15" s="2">
        <f t="shared" si="3"/>
        <v>0</v>
      </c>
      <c r="U15" s="2">
        <f t="shared" si="3"/>
        <v>0</v>
      </c>
      <c r="V15" s="2">
        <f t="shared" si="3"/>
        <v>0</v>
      </c>
      <c r="W15" s="2">
        <f t="shared" si="3"/>
        <v>0</v>
      </c>
      <c r="X15" s="2">
        <f t="shared" si="3"/>
        <v>0</v>
      </c>
      <c r="Y15" s="2">
        <f t="shared" si="3"/>
        <v>0</v>
      </c>
      <c r="Z15" s="2">
        <f t="shared" si="3"/>
        <v>0</v>
      </c>
      <c r="AA15" s="2">
        <f t="shared" si="3"/>
        <v>0</v>
      </c>
      <c r="AB15" s="2">
        <f t="shared" si="3"/>
        <v>0</v>
      </c>
      <c r="AC15" s="2">
        <f t="shared" si="3"/>
        <v>0</v>
      </c>
      <c r="AD15" s="2">
        <f t="shared" si="3"/>
        <v>0</v>
      </c>
      <c r="AE15" s="2">
        <f t="shared" si="3"/>
        <v>0</v>
      </c>
      <c r="AF15" s="2">
        <f t="shared" si="3"/>
        <v>0</v>
      </c>
      <c r="AG15" s="2">
        <f t="shared" si="3"/>
        <v>0</v>
      </c>
      <c r="AH15" s="2">
        <f>B19</f>
        <v>50000</v>
      </c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8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23</v>
      </c>
      <c r="B18" s="3">
        <v>50000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20.25" x14ac:dyDescent="0.25">
      <c r="A19" s="3" t="s">
        <v>22</v>
      </c>
      <c r="B19" s="3">
        <v>50000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ard">
                <anchor moveWithCells="1">
                  <from>
                    <xdr:col>13</xdr:col>
                    <xdr:colOff>9525</xdr:colOff>
                    <xdr:row>1</xdr:row>
                    <xdr:rowOff>228600</xdr:rowOff>
                  </from>
                  <to>
                    <xdr:col>15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terate">
                <anchor moveWithCells="1">
                  <from>
                    <xdr:col>15</xdr:col>
                    <xdr:colOff>600075</xdr:colOff>
                    <xdr:row>2</xdr:row>
                    <xdr:rowOff>0</xdr:rowOff>
                  </from>
                  <to>
                    <xdr:col>17</xdr:col>
                    <xdr:colOff>590550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zoomScale="85" zoomScaleNormal="85" workbookViewId="0">
      <selection activeCell="O6" sqref="O6"/>
    </sheetView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600</v>
      </c>
      <c r="C4" s="2">
        <v>600.07233502538077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13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14</v>
      </c>
      <c r="B10" s="3">
        <v>500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12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15</v>
      </c>
      <c r="B12" s="3">
        <v>10</v>
      </c>
      <c r="C12" s="2" t="s">
        <v>4</v>
      </c>
      <c r="D12" s="3">
        <f>1/(B8+B9*B2)*(B8*E12+B9*B2*B11)</f>
        <v>48.019801980198018</v>
      </c>
      <c r="E12" s="5">
        <f>$B$17</f>
        <v>50</v>
      </c>
      <c r="F12" s="5">
        <f t="shared" ref="F12:AG12" si="1">$B$17</f>
        <v>50</v>
      </c>
      <c r="G12" s="5">
        <f t="shared" si="1"/>
        <v>50</v>
      </c>
      <c r="H12" s="5">
        <f t="shared" si="1"/>
        <v>50</v>
      </c>
      <c r="I12" s="5">
        <f t="shared" si="1"/>
        <v>50</v>
      </c>
      <c r="J12" s="5">
        <f t="shared" si="1"/>
        <v>50</v>
      </c>
      <c r="K12" s="5">
        <f t="shared" si="1"/>
        <v>50</v>
      </c>
      <c r="L12" s="5">
        <f t="shared" si="1"/>
        <v>50</v>
      </c>
      <c r="M12" s="5">
        <f t="shared" si="1"/>
        <v>50</v>
      </c>
      <c r="N12" s="5">
        <f t="shared" si="1"/>
        <v>50</v>
      </c>
      <c r="O12" s="5">
        <f t="shared" si="1"/>
        <v>50</v>
      </c>
      <c r="P12" s="5">
        <f t="shared" si="1"/>
        <v>50</v>
      </c>
      <c r="Q12" s="5">
        <f t="shared" si="1"/>
        <v>50</v>
      </c>
      <c r="R12" s="5">
        <f t="shared" si="1"/>
        <v>50</v>
      </c>
      <c r="S12" s="5">
        <f t="shared" si="1"/>
        <v>50</v>
      </c>
      <c r="T12" s="5">
        <f t="shared" si="1"/>
        <v>50</v>
      </c>
      <c r="U12" s="5">
        <f t="shared" si="1"/>
        <v>50</v>
      </c>
      <c r="V12" s="5">
        <f t="shared" si="1"/>
        <v>50</v>
      </c>
      <c r="W12" s="5">
        <f t="shared" si="1"/>
        <v>50</v>
      </c>
      <c r="X12" s="5">
        <f t="shared" si="1"/>
        <v>50</v>
      </c>
      <c r="Y12" s="5">
        <f t="shared" si="1"/>
        <v>50</v>
      </c>
      <c r="Z12" s="5">
        <f t="shared" si="1"/>
        <v>50</v>
      </c>
      <c r="AA12" s="5">
        <f t="shared" si="1"/>
        <v>50</v>
      </c>
      <c r="AB12" s="5">
        <f t="shared" si="1"/>
        <v>50</v>
      </c>
      <c r="AC12" s="5">
        <f t="shared" si="1"/>
        <v>50</v>
      </c>
      <c r="AD12" s="5">
        <f t="shared" si="1"/>
        <v>50</v>
      </c>
      <c r="AE12" s="5">
        <f t="shared" si="1"/>
        <v>50</v>
      </c>
      <c r="AF12" s="5">
        <f t="shared" si="1"/>
        <v>50</v>
      </c>
      <c r="AG12" s="5">
        <f t="shared" si="1"/>
        <v>50</v>
      </c>
      <c r="AH12" s="3">
        <f>1/(B8-B10*B2)*(B8*AG12+B10*B2*B12)</f>
        <v>50.771208226221077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49.009900990099013</v>
      </c>
      <c r="F14" s="2">
        <f t="shared" ref="F14:AG14" si="2">F12+(($B$8*$B$3)/($B$7*$B$6))*((G12-2*F12+E12)/($B$2^2))</f>
        <v>50</v>
      </c>
      <c r="G14" s="2">
        <f t="shared" si="2"/>
        <v>50</v>
      </c>
      <c r="H14" s="2">
        <f t="shared" si="2"/>
        <v>50</v>
      </c>
      <c r="I14" s="2">
        <f t="shared" si="2"/>
        <v>50</v>
      </c>
      <c r="J14" s="2">
        <f t="shared" si="2"/>
        <v>50</v>
      </c>
      <c r="K14" s="2">
        <f t="shared" si="2"/>
        <v>50</v>
      </c>
      <c r="L14" s="2">
        <f t="shared" si="2"/>
        <v>50</v>
      </c>
      <c r="M14" s="2">
        <f t="shared" si="2"/>
        <v>50</v>
      </c>
      <c r="N14" s="2">
        <f t="shared" si="2"/>
        <v>50</v>
      </c>
      <c r="O14" s="2">
        <f t="shared" si="2"/>
        <v>50</v>
      </c>
      <c r="P14" s="2">
        <f t="shared" si="2"/>
        <v>50</v>
      </c>
      <c r="Q14" s="2">
        <f t="shared" si="2"/>
        <v>50</v>
      </c>
      <c r="R14" s="2">
        <f t="shared" si="2"/>
        <v>50</v>
      </c>
      <c r="S14" s="2">
        <f t="shared" si="2"/>
        <v>50</v>
      </c>
      <c r="T14" s="2">
        <f t="shared" si="2"/>
        <v>50</v>
      </c>
      <c r="U14" s="2">
        <f t="shared" si="2"/>
        <v>50</v>
      </c>
      <c r="V14" s="2">
        <f t="shared" si="2"/>
        <v>50</v>
      </c>
      <c r="W14" s="2">
        <f t="shared" si="2"/>
        <v>50</v>
      </c>
      <c r="X14" s="2">
        <f t="shared" si="2"/>
        <v>50</v>
      </c>
      <c r="Y14" s="2">
        <f t="shared" si="2"/>
        <v>50</v>
      </c>
      <c r="Z14" s="2">
        <f t="shared" si="2"/>
        <v>50</v>
      </c>
      <c r="AA14" s="2">
        <f t="shared" si="2"/>
        <v>50</v>
      </c>
      <c r="AB14" s="2">
        <f t="shared" si="2"/>
        <v>50</v>
      </c>
      <c r="AC14" s="2">
        <f t="shared" si="2"/>
        <v>50</v>
      </c>
      <c r="AD14" s="2">
        <f t="shared" si="2"/>
        <v>50</v>
      </c>
      <c r="AE14" s="2">
        <f t="shared" si="2"/>
        <v>50</v>
      </c>
      <c r="AF14" s="2">
        <f t="shared" si="2"/>
        <v>50</v>
      </c>
      <c r="AG14" s="2">
        <f t="shared" si="2"/>
        <v>50.385604113110539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e">
                <anchor moveWithCells="1">
                  <from>
                    <xdr:col>16</xdr:col>
                    <xdr:colOff>19050</xdr:colOff>
                    <xdr:row>2</xdr:row>
                    <xdr:rowOff>0</xdr:rowOff>
                  </from>
                  <to>
                    <xdr:col>17</xdr:col>
                    <xdr:colOff>600075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iscard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2F10E-2E5D-4828-89BB-9540A26ECB58}">
  <sheetPr codeName="Лист4"/>
  <dimension ref="A1:AH37"/>
  <sheetViews>
    <sheetView tabSelected="1" zoomScale="70" zoomScaleNormal="70" workbookViewId="0"/>
  </sheetViews>
  <sheetFormatPr defaultRowHeight="15" x14ac:dyDescent="0.25"/>
  <cols>
    <col min="2" max="2" width="11.85546875" bestFit="1" customWidth="1"/>
    <col min="4" max="4" width="15.7109375" bestFit="1" customWidth="1"/>
    <col min="5" max="5" width="10.85546875" bestFit="1" customWidth="1"/>
    <col min="33" max="33" width="10.85546875" bestFit="1" customWidth="1"/>
  </cols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 t="shared" ref="E14:AF14" si="1">E17*F14+E18</f>
        <v>80.384757729336812</v>
      </c>
      <c r="F14" s="2">
        <f t="shared" si="1"/>
        <v>21.539030917347258</v>
      </c>
      <c r="G14" s="2">
        <f t="shared" si="1"/>
        <v>5.7713659400522159</v>
      </c>
      <c r="H14" s="2">
        <f t="shared" si="1"/>
        <v>1.5464328428616037</v>
      </c>
      <c r="I14" s="2">
        <f t="shared" si="1"/>
        <v>0.41436543139419862</v>
      </c>
      <c r="J14" s="2">
        <f t="shared" si="1"/>
        <v>0.11102888271519071</v>
      </c>
      <c r="K14" s="2">
        <f t="shared" si="1"/>
        <v>2.9750099466564234E-2</v>
      </c>
      <c r="L14" s="2">
        <f t="shared" si="1"/>
        <v>7.971515151066224E-3</v>
      </c>
      <c r="M14" s="2">
        <f t="shared" si="1"/>
        <v>2.1359611377006608E-3</v>
      </c>
      <c r="N14" s="2">
        <f t="shared" si="1"/>
        <v>5.7232939973641801E-4</v>
      </c>
      <c r="O14" s="2">
        <f t="shared" si="1"/>
        <v>1.5335646124501178E-4</v>
      </c>
      <c r="P14" s="2">
        <f t="shared" si="1"/>
        <v>4.1096445243628968E-5</v>
      </c>
      <c r="Q14" s="2">
        <f t="shared" si="1"/>
        <v>1.102931972950409E-5</v>
      </c>
      <c r="R14" s="2">
        <f t="shared" si="1"/>
        <v>3.020833674387393E-6</v>
      </c>
      <c r="S14" s="2">
        <f t="shared" si="1"/>
        <v>1.0540149680454811E-6</v>
      </c>
      <c r="T14" s="2">
        <f t="shared" si="1"/>
        <v>1.1952261977945312E-6</v>
      </c>
      <c r="U14" s="2">
        <f t="shared" si="1"/>
        <v>3.726889823132644E-6</v>
      </c>
      <c r="V14" s="2">
        <f t="shared" si="1"/>
        <v>1.3712333094736045E-5</v>
      </c>
      <c r="W14" s="2">
        <f t="shared" si="1"/>
        <v>5.112244255581154E-5</v>
      </c>
      <c r="X14" s="2">
        <f t="shared" si="1"/>
        <v>1.9077743712851014E-4</v>
      </c>
      <c r="Y14" s="2">
        <f t="shared" si="1"/>
        <v>7.1198730595822899E-4</v>
      </c>
      <c r="Z14" s="2">
        <f t="shared" si="1"/>
        <v>2.6571717867044059E-3</v>
      </c>
      <c r="AA14" s="2">
        <f t="shared" si="1"/>
        <v>9.9166998408593953E-3</v>
      </c>
      <c r="AB14" s="2">
        <f t="shared" si="1"/>
        <v>3.7009627576733171E-2</v>
      </c>
      <c r="AC14" s="2">
        <f t="shared" si="1"/>
        <v>0.1381218104660733</v>
      </c>
      <c r="AD14" s="2">
        <f t="shared" si="1"/>
        <v>0.51547761428756012</v>
      </c>
      <c r="AE14" s="2">
        <f t="shared" si="1"/>
        <v>1.9237886466841676</v>
      </c>
      <c r="AF14" s="2">
        <f t="shared" si="1"/>
        <v>7.1796769724491103</v>
      </c>
      <c r="AG14" s="2">
        <f>AG17*AH14+AG18</f>
        <v>26.794919243112275</v>
      </c>
      <c r="AH14" s="2">
        <f>AH12</f>
        <v>100</v>
      </c>
    </row>
    <row r="15" spans="1:34" ht="18.75" x14ac:dyDescent="0.25">
      <c r="A15" s="2"/>
      <c r="B15" s="2"/>
      <c r="C15" s="2" t="s">
        <v>6</v>
      </c>
      <c r="D15" s="2">
        <f>B18</f>
        <v>0</v>
      </c>
      <c r="E15" s="2">
        <f>-$B$8*((E12-D12)/$B$2)</f>
        <v>4140000</v>
      </c>
      <c r="F15" s="2">
        <f>-$B$8*((F12-E12)/$B$2)</f>
        <v>0</v>
      </c>
      <c r="G15" s="2">
        <f t="shared" ref="G15:AG15" si="2">-$B$8*((G12-F12)/$B$2)</f>
        <v>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O15" s="2">
        <f t="shared" si="2"/>
        <v>0</v>
      </c>
      <c r="P15" s="2">
        <f t="shared" si="2"/>
        <v>0</v>
      </c>
      <c r="Q15" s="2">
        <f t="shared" si="2"/>
        <v>0</v>
      </c>
      <c r="R15" s="2">
        <f t="shared" si="2"/>
        <v>0</v>
      </c>
      <c r="S15" s="2">
        <f t="shared" si="2"/>
        <v>0</v>
      </c>
      <c r="T15" s="2">
        <f t="shared" si="2"/>
        <v>0</v>
      </c>
      <c r="U15" s="2">
        <f t="shared" si="2"/>
        <v>0</v>
      </c>
      <c r="V15" s="2">
        <f t="shared" si="2"/>
        <v>0</v>
      </c>
      <c r="W15" s="2">
        <f t="shared" si="2"/>
        <v>0</v>
      </c>
      <c r="X15" s="2">
        <f t="shared" si="2"/>
        <v>0</v>
      </c>
      <c r="Y15" s="2">
        <f t="shared" si="2"/>
        <v>0</v>
      </c>
      <c r="Z15" s="2">
        <f t="shared" si="2"/>
        <v>0</v>
      </c>
      <c r="AA15" s="2">
        <f t="shared" si="2"/>
        <v>0</v>
      </c>
      <c r="AB15" s="2">
        <f t="shared" si="2"/>
        <v>0</v>
      </c>
      <c r="AC15" s="2">
        <f t="shared" si="2"/>
        <v>0</v>
      </c>
      <c r="AD15" s="2">
        <f t="shared" si="2"/>
        <v>0</v>
      </c>
      <c r="AE15" s="2">
        <f t="shared" si="2"/>
        <v>0</v>
      </c>
      <c r="AF15" s="2">
        <f t="shared" si="2"/>
        <v>0</v>
      </c>
      <c r="AG15" s="2">
        <f t="shared" si="2"/>
        <v>0</v>
      </c>
      <c r="AH15" s="2"/>
    </row>
    <row r="16" spans="1:34" ht="20.25" x14ac:dyDescent="0.25">
      <c r="A16" s="3" t="s">
        <v>8</v>
      </c>
      <c r="B16" s="3">
        <v>300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 t="s">
        <v>19</v>
      </c>
      <c r="D17" s="2">
        <v>0</v>
      </c>
      <c r="E17" s="2">
        <f>$B$19/($B$20-$B$21*D17)</f>
        <v>0.25</v>
      </c>
      <c r="F17" s="2">
        <f t="shared" ref="F17:AG17" si="3">$B$19/($B$20-$B$21*E17)</f>
        <v>0.26666666666666666</v>
      </c>
      <c r="G17" s="2">
        <f t="shared" si="3"/>
        <v>0.26785714285714285</v>
      </c>
      <c r="H17" s="2">
        <f t="shared" si="3"/>
        <v>0.26794258373205743</v>
      </c>
      <c r="I17" s="2">
        <f t="shared" si="3"/>
        <v>0.26794871794871794</v>
      </c>
      <c r="J17" s="2">
        <f t="shared" si="3"/>
        <v>0.26794915836482308</v>
      </c>
      <c r="K17" s="2">
        <f t="shared" si="3"/>
        <v>0.26794918998527245</v>
      </c>
      <c r="L17" s="2">
        <f t="shared" si="3"/>
        <v>0.26794919225551855</v>
      </c>
      <c r="M17" s="2">
        <f t="shared" si="3"/>
        <v>0.26794919241851489</v>
      </c>
      <c r="N17" s="2">
        <f t="shared" si="3"/>
        <v>0.26794919243021753</v>
      </c>
      <c r="O17" s="2">
        <f t="shared" si="3"/>
        <v>0.26794919243105775</v>
      </c>
      <c r="P17" s="2">
        <f t="shared" si="3"/>
        <v>0.26794919243111803</v>
      </c>
      <c r="Q17" s="2">
        <f t="shared" si="3"/>
        <v>0.26794919243112236</v>
      </c>
      <c r="R17" s="2">
        <f t="shared" si="3"/>
        <v>0.2679491924311227</v>
      </c>
      <c r="S17" s="2">
        <f t="shared" si="3"/>
        <v>0.2679491924311227</v>
      </c>
      <c r="T17" s="2">
        <f t="shared" si="3"/>
        <v>0.2679491924311227</v>
      </c>
      <c r="U17" s="2">
        <f t="shared" si="3"/>
        <v>0.2679491924311227</v>
      </c>
      <c r="V17" s="2">
        <f t="shared" si="3"/>
        <v>0.2679491924311227</v>
      </c>
      <c r="W17" s="2">
        <f t="shared" si="3"/>
        <v>0.2679491924311227</v>
      </c>
      <c r="X17" s="2">
        <f t="shared" si="3"/>
        <v>0.2679491924311227</v>
      </c>
      <c r="Y17" s="2">
        <f t="shared" si="3"/>
        <v>0.2679491924311227</v>
      </c>
      <c r="Z17" s="2">
        <f t="shared" si="3"/>
        <v>0.2679491924311227</v>
      </c>
      <c r="AA17" s="2">
        <f t="shared" si="3"/>
        <v>0.2679491924311227</v>
      </c>
      <c r="AB17" s="2">
        <f t="shared" si="3"/>
        <v>0.2679491924311227</v>
      </c>
      <c r="AC17" s="2">
        <f t="shared" si="3"/>
        <v>0.2679491924311227</v>
      </c>
      <c r="AD17" s="2">
        <f t="shared" si="3"/>
        <v>0.2679491924311227</v>
      </c>
      <c r="AE17" s="2">
        <f t="shared" si="3"/>
        <v>0.2679491924311227</v>
      </c>
      <c r="AF17" s="2">
        <f t="shared" si="3"/>
        <v>0.2679491924311227</v>
      </c>
      <c r="AG17" s="2">
        <f t="shared" si="3"/>
        <v>0.2679491924311227</v>
      </c>
      <c r="AH17" s="2"/>
    </row>
    <row r="18" spans="1:34" ht="18.75" x14ac:dyDescent="0.25">
      <c r="C18" s="2" t="s">
        <v>20</v>
      </c>
      <c r="D18" s="2">
        <f>D12</f>
        <v>300</v>
      </c>
      <c r="E18" s="2">
        <f>(D18*$B$21-E19)/($B$20-$B$21*D17)</f>
        <v>75</v>
      </c>
      <c r="F18" s="2">
        <f t="shared" ref="F18:AG18" si="4">(E18*$B$21-F19)/($B$20-$B$21*E17)</f>
        <v>20</v>
      </c>
      <c r="G18" s="2">
        <f t="shared" si="4"/>
        <v>5.3571428571428577</v>
      </c>
      <c r="H18" s="2">
        <f t="shared" si="4"/>
        <v>1.4354066985645935</v>
      </c>
      <c r="I18" s="2">
        <f t="shared" si="4"/>
        <v>0.38461538461538469</v>
      </c>
      <c r="J18" s="2">
        <f t="shared" si="4"/>
        <v>0.10305736860185505</v>
      </c>
      <c r="K18" s="2">
        <f t="shared" si="4"/>
        <v>2.7614138438880713E-2</v>
      </c>
      <c r="L18" s="2">
        <f t="shared" si="4"/>
        <v>7.3991860895301536E-3</v>
      </c>
      <c r="M18" s="2">
        <f t="shared" si="4"/>
        <v>1.9826059372439141E-3</v>
      </c>
      <c r="N18" s="2">
        <f t="shared" si="4"/>
        <v>5.3123765979186117E-4</v>
      </c>
      <c r="O18" s="2">
        <f t="shared" si="4"/>
        <v>1.423447019301942E-4</v>
      </c>
      <c r="P18" s="2">
        <f t="shared" si="4"/>
        <v>3.814114792904375E-5</v>
      </c>
      <c r="Q18" s="2">
        <f t="shared" si="4"/>
        <v>1.0219889785983248E-5</v>
      </c>
      <c r="R18" s="2">
        <f t="shared" si="4"/>
        <v>2.7384112148892907E-6</v>
      </c>
      <c r="S18" s="2">
        <f t="shared" si="4"/>
        <v>7.3375507357391506E-7</v>
      </c>
      <c r="T18" s="2">
        <f t="shared" si="4"/>
        <v>1.9660907940636959E-7</v>
      </c>
      <c r="U18" s="2">
        <f t="shared" si="4"/>
        <v>5.2681244051563209E-8</v>
      </c>
      <c r="V18" s="2">
        <f t="shared" si="4"/>
        <v>1.4115896799883249E-8</v>
      </c>
      <c r="W18" s="2">
        <f t="shared" si="4"/>
        <v>3.7823431479697859E-9</v>
      </c>
      <c r="X18" s="2">
        <f t="shared" si="4"/>
        <v>1.0134757919958945E-9</v>
      </c>
      <c r="Y18" s="2">
        <f t="shared" si="4"/>
        <v>2.7156002001379249E-10</v>
      </c>
      <c r="Z18" s="2">
        <f t="shared" si="4"/>
        <v>7.2764288059275216E-11</v>
      </c>
      <c r="AA18" s="2">
        <f t="shared" si="4"/>
        <v>1.9497132223308379E-11</v>
      </c>
      <c r="AB18" s="2">
        <f t="shared" si="4"/>
        <v>5.2242408339583002E-12</v>
      </c>
      <c r="AC18" s="2">
        <f t="shared" si="4"/>
        <v>1.3998311125248216E-12</v>
      </c>
      <c r="AD18" s="2">
        <f t="shared" si="4"/>
        <v>3.7508361614098604E-13</v>
      </c>
      <c r="AE18" s="2">
        <f t="shared" si="4"/>
        <v>1.0050335203912244E-13</v>
      </c>
      <c r="AF18" s="2">
        <f t="shared" si="4"/>
        <v>2.6929792015503687E-14</v>
      </c>
      <c r="AG18" s="2">
        <f t="shared" si="4"/>
        <v>7.2158160228923101E-15</v>
      </c>
      <c r="AH18" s="2"/>
    </row>
    <row r="19" spans="1:34" ht="18.75" x14ac:dyDescent="0.25">
      <c r="A19" s="3" t="s">
        <v>16</v>
      </c>
      <c r="B19" s="3">
        <f>B8/B2^2</f>
        <v>4139999.9999999991</v>
      </c>
      <c r="C19" s="2" t="s">
        <v>21</v>
      </c>
      <c r="D19" s="2">
        <f>-(($B$7*$B$6)/$B$3)*D12</f>
        <v>-2483999999.9999995</v>
      </c>
      <c r="E19" s="2">
        <f t="shared" ref="E19:AG19" si="5">-(($B$7*$B$6)/$B$3)*E12</f>
        <v>0</v>
      </c>
      <c r="F19" s="2">
        <f t="shared" si="5"/>
        <v>0</v>
      </c>
      <c r="G19" s="2">
        <f t="shared" si="5"/>
        <v>0</v>
      </c>
      <c r="H19" s="2">
        <f t="shared" si="5"/>
        <v>0</v>
      </c>
      <c r="I19" s="2">
        <f t="shared" si="5"/>
        <v>0</v>
      </c>
      <c r="J19" s="2">
        <f t="shared" si="5"/>
        <v>0</v>
      </c>
      <c r="K19" s="2">
        <f t="shared" si="5"/>
        <v>0</v>
      </c>
      <c r="L19" s="2">
        <f t="shared" si="5"/>
        <v>0</v>
      </c>
      <c r="M19" s="2">
        <f t="shared" si="5"/>
        <v>0</v>
      </c>
      <c r="N19" s="2">
        <f t="shared" si="5"/>
        <v>0</v>
      </c>
      <c r="O19" s="2">
        <f t="shared" si="5"/>
        <v>0</v>
      </c>
      <c r="P19" s="2">
        <f t="shared" si="5"/>
        <v>0</v>
      </c>
      <c r="Q19" s="2">
        <f t="shared" si="5"/>
        <v>0</v>
      </c>
      <c r="R19" s="2">
        <f t="shared" si="5"/>
        <v>0</v>
      </c>
      <c r="S19" s="2">
        <f t="shared" si="5"/>
        <v>0</v>
      </c>
      <c r="T19" s="2">
        <f t="shared" si="5"/>
        <v>0</v>
      </c>
      <c r="U19" s="2">
        <f t="shared" si="5"/>
        <v>0</v>
      </c>
      <c r="V19" s="2">
        <f t="shared" si="5"/>
        <v>0</v>
      </c>
      <c r="W19" s="2">
        <f t="shared" si="5"/>
        <v>0</v>
      </c>
      <c r="X19" s="2">
        <f t="shared" si="5"/>
        <v>0</v>
      </c>
      <c r="Y19" s="2">
        <f t="shared" si="5"/>
        <v>0</v>
      </c>
      <c r="Z19" s="2">
        <f t="shared" si="5"/>
        <v>0</v>
      </c>
      <c r="AA19" s="2">
        <f t="shared" si="5"/>
        <v>0</v>
      </c>
      <c r="AB19" s="2">
        <f t="shared" si="5"/>
        <v>0</v>
      </c>
      <c r="AC19" s="2">
        <f t="shared" si="5"/>
        <v>0</v>
      </c>
      <c r="AD19" s="2">
        <f t="shared" si="5"/>
        <v>0</v>
      </c>
      <c r="AE19" s="2">
        <f t="shared" si="5"/>
        <v>0</v>
      </c>
      <c r="AF19" s="2">
        <f t="shared" si="5"/>
        <v>0</v>
      </c>
      <c r="AG19" s="2">
        <f t="shared" si="5"/>
        <v>0</v>
      </c>
      <c r="AH19" s="2"/>
    </row>
    <row r="20" spans="1:34" ht="18.75" x14ac:dyDescent="0.25">
      <c r="A20" s="3" t="s">
        <v>17</v>
      </c>
      <c r="B20" s="3">
        <f>(2*B8)/B2^2+(B7*B6)/B3</f>
        <v>16559999.999999996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A21" s="3" t="s">
        <v>18</v>
      </c>
      <c r="B21" s="3">
        <f>B19</f>
        <v>4139999.9999999991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terate">
                <anchor moveWithCells="1">
                  <from>
                    <xdr:col>16</xdr:col>
                    <xdr:colOff>28575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iscard_0">
                <anchor moveWithCells="1">
                  <from>
                    <xdr:col>13</xdr:col>
                    <xdr:colOff>28575</xdr:colOff>
                    <xdr:row>2</xdr:row>
                    <xdr:rowOff>0</xdr:rowOff>
                  </from>
                  <to>
                    <xdr:col>14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Явная схема ГУ 1</vt:lpstr>
      <vt:lpstr>Явная схема ГУ 2</vt:lpstr>
      <vt:lpstr>Явная схема ГУ 3</vt:lpstr>
      <vt:lpstr>Неявная схема ГУ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2021-10-13T05:34:29Z</dcterms:modified>
</cp:coreProperties>
</file>