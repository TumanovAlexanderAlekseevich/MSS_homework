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lexa\Desktop\"/>
    </mc:Choice>
  </mc:AlternateContent>
  <xr:revisionPtr revIDLastSave="0" documentId="8_{38913699-3053-4853-BE9D-D2EC3C1C199A}" xr6:coauthVersionLast="47" xr6:coauthVersionMax="47" xr10:uidLastSave="{00000000-0000-0000-0000-000000000000}"/>
  <bookViews>
    <workbookView xWindow="-120" yWindow="-120" windowWidth="29040" windowHeight="15840" activeTab="2" xr2:uid="{3F025F98-E8FA-463E-B119-B15D64B7F0B2}"/>
  </bookViews>
  <sheets>
    <sheet name="ГУ 1" sheetId="2" r:id="rId1"/>
    <sheet name="ГУ 2" sheetId="1" r:id="rId2"/>
    <sheet name="ГУ 3" sheetId="3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3" l="1"/>
  <c r="AH12" i="3"/>
  <c r="E15" i="1" l="1"/>
  <c r="E14" i="2" l="1"/>
  <c r="AH12" i="1"/>
  <c r="B2" i="3"/>
  <c r="D12" i="2"/>
  <c r="E11" i="3" l="1"/>
  <c r="F11" i="3" s="1"/>
  <c r="G11" i="3" s="1"/>
  <c r="H11" i="3" s="1"/>
  <c r="I11" i="3" s="1"/>
  <c r="J11" i="3" s="1"/>
  <c r="K11" i="3" s="1"/>
  <c r="L11" i="3" s="1"/>
  <c r="M11" i="3" s="1"/>
  <c r="N11" i="3" s="1"/>
  <c r="O11" i="3" s="1"/>
  <c r="P11" i="3" s="1"/>
  <c r="Q11" i="3" s="1"/>
  <c r="R11" i="3" s="1"/>
  <c r="S11" i="3" s="1"/>
  <c r="T11" i="3" s="1"/>
  <c r="U11" i="3" s="1"/>
  <c r="V11" i="3" s="1"/>
  <c r="W11" i="3" s="1"/>
  <c r="X11" i="3" s="1"/>
  <c r="Y11" i="3" s="1"/>
  <c r="Z11" i="3" s="1"/>
  <c r="AA11" i="3" s="1"/>
  <c r="AB11" i="3" s="1"/>
  <c r="AC11" i="3" s="1"/>
  <c r="AD11" i="3" s="1"/>
  <c r="AE11" i="3" s="1"/>
  <c r="AF11" i="3" s="1"/>
  <c r="AG11" i="3" s="1"/>
  <c r="AH11" i="3" s="1"/>
  <c r="B3" i="3"/>
  <c r="AH12" i="2"/>
  <c r="B2" i="2"/>
  <c r="J14" i="3" l="1"/>
  <c r="V14" i="3"/>
  <c r="W14" i="3"/>
  <c r="L14" i="3"/>
  <c r="X14" i="3"/>
  <c r="M14" i="3"/>
  <c r="Y14" i="3"/>
  <c r="AC14" i="3"/>
  <c r="R14" i="3"/>
  <c r="AE14" i="3"/>
  <c r="I14" i="3"/>
  <c r="K14" i="3"/>
  <c r="N14" i="3"/>
  <c r="Z14" i="3"/>
  <c r="O14" i="3"/>
  <c r="AA14" i="3"/>
  <c r="AB14" i="3"/>
  <c r="E14" i="3"/>
  <c r="Q14" i="3"/>
  <c r="F14" i="3"/>
  <c r="AD14" i="3"/>
  <c r="S14" i="3"/>
  <c r="T14" i="3"/>
  <c r="U14" i="3"/>
  <c r="P14" i="3"/>
  <c r="G14" i="3"/>
  <c r="H14" i="3"/>
  <c r="AF14" i="3"/>
  <c r="AG14" i="3"/>
  <c r="B3" i="2"/>
  <c r="E11" i="2"/>
  <c r="F11" i="2" s="1"/>
  <c r="G11" i="2" s="1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D15" i="1"/>
  <c r="D12" i="1" s="1"/>
  <c r="V14" i="2" l="1"/>
  <c r="AG14" i="2"/>
  <c r="U14" i="2"/>
  <c r="I14" i="2"/>
  <c r="T14" i="2"/>
  <c r="H14" i="2"/>
  <c r="AE14" i="2"/>
  <c r="S14" i="2"/>
  <c r="G14" i="2"/>
  <c r="AD14" i="2"/>
  <c r="R14" i="2"/>
  <c r="F14" i="2"/>
  <c r="AC14" i="2"/>
  <c r="Z14" i="2"/>
  <c r="N14" i="2"/>
  <c r="M14" i="2"/>
  <c r="L14" i="2"/>
  <c r="W14" i="2"/>
  <c r="AF14" i="2"/>
  <c r="Q14" i="2"/>
  <c r="AB14" i="2"/>
  <c r="P14" i="2"/>
  <c r="AA14" i="2"/>
  <c r="O14" i="2"/>
  <c r="Y14" i="2"/>
  <c r="X14" i="2"/>
  <c r="K14" i="2"/>
  <c r="J14" i="2"/>
  <c r="B2" i="1"/>
  <c r="E11" i="1" l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G15" i="1"/>
  <c r="H15" i="1"/>
  <c r="I15" i="1"/>
  <c r="J15" i="1"/>
  <c r="V15" i="1"/>
  <c r="M15" i="1"/>
  <c r="AA15" i="1"/>
  <c r="AB15" i="1"/>
  <c r="AC15" i="1"/>
  <c r="R15" i="1"/>
  <c r="S15" i="1"/>
  <c r="AF15" i="1"/>
  <c r="K15" i="1"/>
  <c r="W15" i="1"/>
  <c r="L15" i="1"/>
  <c r="X15" i="1"/>
  <c r="Y15" i="1"/>
  <c r="Z15" i="1"/>
  <c r="O15" i="1"/>
  <c r="P15" i="1"/>
  <c r="Q15" i="1"/>
  <c r="F15" i="1"/>
  <c r="AD15" i="1"/>
  <c r="T15" i="1"/>
  <c r="AG15" i="1"/>
  <c r="N15" i="1"/>
  <c r="AE15" i="1"/>
  <c r="U15" i="1"/>
  <c r="B3" i="1"/>
  <c r="P14" i="1" l="1"/>
  <c r="AB14" i="1"/>
  <c r="Q14" i="1"/>
  <c r="AC14" i="1"/>
  <c r="F14" i="1"/>
  <c r="R14" i="1"/>
  <c r="AD14" i="1"/>
  <c r="S14" i="1"/>
  <c r="AE14" i="1"/>
  <c r="H14" i="1"/>
  <c r="V14" i="1"/>
  <c r="M14" i="1"/>
  <c r="N14" i="1"/>
  <c r="G14" i="1"/>
  <c r="T14" i="1"/>
  <c r="I14" i="1"/>
  <c r="U14" i="1"/>
  <c r="AG14" i="1"/>
  <c r="J14" i="1"/>
  <c r="Y14" i="1"/>
  <c r="Z14" i="1"/>
  <c r="AA14" i="1"/>
  <c r="AF14" i="1"/>
  <c r="X14" i="1"/>
  <c r="O14" i="1"/>
  <c r="W14" i="1"/>
  <c r="L14" i="1"/>
  <c r="K14" i="1"/>
  <c r="E14" i="1"/>
</calcChain>
</file>

<file path=xl/sharedStrings.xml><?xml version="1.0" encoding="utf-8"?>
<sst xmlns="http://schemas.openxmlformats.org/spreadsheetml/2006/main" count="41" uniqueCount="17">
  <si>
    <t>L</t>
  </si>
  <si>
    <t>dx</t>
  </si>
  <si>
    <t>dt</t>
  </si>
  <si>
    <t>t</t>
  </si>
  <si>
    <t>T</t>
  </si>
  <si>
    <t>T_iter</t>
  </si>
  <si>
    <t>q</t>
  </si>
  <si>
    <r>
      <t>C</t>
    </r>
    <r>
      <rPr>
        <vertAlign val="subscript"/>
        <sz val="14"/>
        <color theme="1"/>
        <rFont val="Times New Roman"/>
        <family val="1"/>
        <charset val="204"/>
      </rPr>
      <t>p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</si>
  <si>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</si>
  <si>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end</t>
    </r>
  </si>
  <si>
    <r>
      <t>q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</si>
  <si>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ρ</t>
    </r>
    <r>
      <rPr>
        <vertAlign val="subscript"/>
        <sz val="14"/>
        <color theme="1"/>
        <rFont val="Times New Roman"/>
        <family val="1"/>
        <charset val="204"/>
      </rPr>
      <t>0</t>
    </r>
  </si>
  <si>
    <t>λ</t>
  </si>
  <si>
    <r>
      <t>T</t>
    </r>
    <r>
      <rPr>
        <vertAlign val="superscript"/>
        <sz val="14"/>
        <color theme="1"/>
        <rFont val="Times New Roman"/>
        <family val="1"/>
        <charset val="204"/>
      </rPr>
      <t>e1</t>
    </r>
  </si>
  <si>
    <r>
      <t>κ</t>
    </r>
    <r>
      <rPr>
        <vertAlign val="subscript"/>
        <sz val="14"/>
        <color theme="1"/>
        <rFont val="Times New Roman"/>
        <family val="1"/>
        <charset val="204"/>
      </rPr>
      <t>1</t>
    </r>
  </si>
  <si>
    <r>
      <t>κ</t>
    </r>
    <r>
      <rPr>
        <vertAlign val="subscript"/>
        <sz val="14"/>
        <color theme="1"/>
        <rFont val="Times New Roman"/>
        <family val="1"/>
        <charset val="204"/>
      </rPr>
      <t>2</t>
    </r>
  </si>
  <si>
    <r>
      <t>T</t>
    </r>
    <r>
      <rPr>
        <vertAlign val="superscript"/>
        <sz val="14"/>
        <color theme="1"/>
        <rFont val="Times New Roman"/>
        <family val="1"/>
        <charset val="204"/>
      </rPr>
      <t>e2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</si>
</sst>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vertAlign val="subscript"/>
      <sz val="14"/>
      <color theme="1"/>
      <name val="Times New Roman"/>
      <family val="1"/>
      <charset val="204"/>
    </font>
    <font>
      <vertAlign val="superscript"/>
      <sz val="1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1'!$D$11:$AH$11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1'!$D$12:$AH$12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D0-4FA8-A1A1-D92B347C0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2'!$D$11:$AH$11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2'!$D$12:$AH$12</c:f>
              <c:numCache>
                <c:formatCode>0.00</c:formatCode>
                <c:ptCount val="31"/>
                <c:pt idx="0" formatCode="General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B9-47D8-B5F9-1B493FDB4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3'!$D$11:$AH$11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</c:numCache>
            </c:numRef>
          </c:xVal>
          <c:yVal>
            <c:numRef>
              <c:f>'ГУ 3'!$D$12:$AH$12</c:f>
              <c:numCache>
                <c:formatCode>0.00</c:formatCode>
                <c:ptCount val="31"/>
                <c:pt idx="0" formatCode="General">
                  <c:v>-14.02160111091119</c:v>
                </c:pt>
                <c:pt idx="1">
                  <c:v>-13.616057991898783</c:v>
                </c:pt>
                <c:pt idx="2">
                  <c:v>-13.220009825549484</c:v>
                </c:pt>
                <c:pt idx="3">
                  <c:v>-12.83369048201385</c:v>
                </c:pt>
                <c:pt idx="4">
                  <c:v>-12.457333260499031</c:v>
                </c:pt>
                <c:pt idx="5">
                  <c:v>-12.091169667310156</c:v>
                </c:pt>
                <c:pt idx="6">
                  <c:v>-11.735431177055254</c:v>
                </c:pt>
                <c:pt idx="7">
                  <c:v>-11.390346873401906</c:v>
                </c:pt>
                <c:pt idx="8">
                  <c:v>-11.056146305662939</c:v>
                </c:pt>
                <c:pt idx="9">
                  <c:v>-10.73305610155708</c:v>
                </c:pt>
                <c:pt idx="10">
                  <c:v>-10.421303784628664</c:v>
                </c:pt>
                <c:pt idx="11">
                  <c:v>-10.121113516357854</c:v>
                </c:pt>
                <c:pt idx="12">
                  <c:v>-9.8327106949492062</c:v>
                </c:pt>
                <c:pt idx="13">
                  <c:v>-9.5563170248394229</c:v>
                </c:pt>
                <c:pt idx="14">
                  <c:v>-9.2921556808626136</c:v>
                </c:pt>
                <c:pt idx="15">
                  <c:v>-9.0404459346491528</c:v>
                </c:pt>
                <c:pt idx="16">
                  <c:v>-8.8014086417478143</c:v>
                </c:pt>
                <c:pt idx="17">
                  <c:v>-8.5752606751284119</c:v>
                </c:pt>
                <c:pt idx="18">
                  <c:v>-8.362220477748437</c:v>
                </c:pt>
                <c:pt idx="19">
                  <c:v>-8.1625025623964618</c:v>
                </c:pt>
                <c:pt idx="20">
                  <c:v>-7.9763228691392332</c:v>
                </c:pt>
                <c:pt idx="21">
                  <c:v>-7.803893587650542</c:v>
                </c:pt>
                <c:pt idx="22">
                  <c:v>-7.6454280681067601</c:v>
                </c:pt>
                <c:pt idx="23">
                  <c:v>-7.5011362070816441</c:v>
                </c:pt>
                <c:pt idx="24">
                  <c:v>-7.3712286813470609</c:v>
                </c:pt>
                <c:pt idx="25">
                  <c:v>-7.2559131120822196</c:v>
                </c:pt>
                <c:pt idx="26">
                  <c:v>-7.1553974227051889</c:v>
                </c:pt>
                <c:pt idx="27">
                  <c:v>-7.0698869597761123</c:v>
                </c:pt>
                <c:pt idx="28">
                  <c:v>-6.9995868169533981</c:v>
                </c:pt>
                <c:pt idx="29">
                  <c:v>-6.9447000462645416</c:v>
                </c:pt>
                <c:pt idx="30" formatCode="General">
                  <c:v>-6.9054288386329796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D2-4167-8A55-F9487418F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5952</xdr:colOff>
      <xdr:row>17</xdr:row>
      <xdr:rowOff>254793</xdr:rowOff>
    </xdr:from>
    <xdr:to>
      <xdr:col>11</xdr:col>
      <xdr:colOff>0</xdr:colOff>
      <xdr:row>41</xdr:row>
      <xdr:rowOff>145694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53A997E7-1B3B-4C16-820A-807360D06D2A}"/>
            </a:ext>
          </a:extLst>
        </xdr:cNvPr>
        <xdr:cNvGrpSpPr/>
      </xdr:nvGrpSpPr>
      <xdr:grpSpPr>
        <a:xfrm>
          <a:off x="1821305" y="4344940"/>
          <a:ext cx="4834989" cy="4843901"/>
          <a:chOff x="1867159" y="4887256"/>
          <a:chExt cx="4811289" cy="4735732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:a16="http://schemas.microsoft.com/office/drawing/2014/main" id="{5BF036DE-C51D-453D-8FFD-4914FA24C3DC}"/>
              </a:ext>
            </a:extLst>
          </xdr:cNvPr>
          <xdr:cNvGraphicFramePr/>
        </xdr:nvGraphicFramePr>
        <xdr:xfrm>
          <a:off x="1867159" y="488725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9934C8E5-74B8-4A9C-BC12-43E6618AF748}"/>
                  </a:ext>
                </a:extLst>
              </xdr:cNvPr>
              <xdr:cNvSpPr txBox="1"/>
            </xdr:nvSpPr>
            <xdr:spPr>
              <a:xfrm>
                <a:off x="1939789" y="4965696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9934C8E5-74B8-4A9C-BC12-43E6618AF748}"/>
                  </a:ext>
                </a:extLst>
              </xdr:cNvPr>
              <xdr:cNvSpPr txBox="1"/>
            </xdr:nvSpPr>
            <xdr:spPr>
              <a:xfrm>
                <a:off x="1939789" y="4965696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BC35B487-E2C3-495F-90BF-EB36DEDC1F58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BC35B487-E2C3-495F-90BF-EB36DEDC1F58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5952</xdr:colOff>
      <xdr:row>14</xdr:row>
      <xdr:rowOff>235743</xdr:rowOff>
    </xdr:from>
    <xdr:to>
      <xdr:col>11</xdr:col>
      <xdr:colOff>0</xdr:colOff>
      <xdr:row>37</xdr:row>
      <xdr:rowOff>88544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2CFABE66-0483-47C9-9ECC-7F22435C7291}"/>
            </a:ext>
          </a:extLst>
        </xdr:cNvPr>
        <xdr:cNvGrpSpPr/>
      </xdr:nvGrpSpPr>
      <xdr:grpSpPr>
        <a:xfrm>
          <a:off x="1854923" y="3575096"/>
          <a:ext cx="4834989" cy="4772183"/>
          <a:chOff x="1867159" y="4089536"/>
          <a:chExt cx="4811289" cy="4735732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:a16="http://schemas.microsoft.com/office/drawing/2014/main" id="{D07DB2AB-3150-46F8-837F-2AEB2897BC16}"/>
              </a:ext>
            </a:extLst>
          </xdr:cNvPr>
          <xdr:cNvGraphicFramePr/>
        </xdr:nvGraphicFramePr>
        <xdr:xfrm>
          <a:off x="1867159" y="408953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8046CBE5-8E97-4D4B-BE41-ED771B1FEAB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8046CBE5-8E97-4D4B-BE41-ED771B1FEAB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A8B81CBB-C7DD-4933-B531-07A0B752459E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A8B81CBB-C7DD-4933-B531-07A0B752459E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599864</xdr:colOff>
      <xdr:row>16</xdr:row>
      <xdr:rowOff>255354</xdr:rowOff>
    </xdr:from>
    <xdr:to>
      <xdr:col>10</xdr:col>
      <xdr:colOff>593912</xdr:colOff>
      <xdr:row>40</xdr:row>
      <xdr:rowOff>10103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A14B6F36-A714-466E-A652-EC0555B69401}"/>
            </a:ext>
          </a:extLst>
        </xdr:cNvPr>
        <xdr:cNvGrpSpPr/>
      </xdr:nvGrpSpPr>
      <xdr:grpSpPr>
        <a:xfrm>
          <a:off x="1810099" y="4222236"/>
          <a:ext cx="4834989" cy="4797396"/>
          <a:chOff x="1867159" y="4089536"/>
          <a:chExt cx="4811289" cy="4735732"/>
        </a:xfrm>
      </xdr:grpSpPr>
      <xdr:graphicFrame macro="">
        <xdr:nvGraphicFramePr>
          <xdr:cNvPr id="7" name="Диаграмма 6">
            <a:extLst>
              <a:ext uri="{FF2B5EF4-FFF2-40B4-BE49-F238E27FC236}">
                <a16:creationId xmlns:a16="http://schemas.microsoft.com/office/drawing/2014/main" id="{F7804E30-A5AF-4F95-9940-0867A636DFDE}"/>
              </a:ext>
            </a:extLst>
          </xdr:cNvPr>
          <xdr:cNvGraphicFramePr/>
        </xdr:nvGraphicFramePr>
        <xdr:xfrm>
          <a:off x="1867159" y="408953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7B39542E-5F22-4145-8565-F1E6B9E6784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7B39542E-5F22-4145-8565-F1E6B9E6784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4B7FCFAF-5283-493C-A8A1-A73BBE36A6D3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4B7FCFAF-5283-493C-A8A1-A73BBE36A6D3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A690F-8077-4FE2-9729-E41A0B1D29C0}">
  <sheetPr codeName="Лист2"/>
  <dimension ref="A1:AH37"/>
  <sheetViews>
    <sheetView zoomScale="85" zoomScaleNormal="85" workbookViewId="0">
      <selection activeCell="E14" sqref="E14"/>
    </sheetView>
  </sheetViews>
  <sheetFormatPr defaultRowHeight="15" x14ac:dyDescent="0.25"/>
  <sheetData>
    <row r="1" spans="1:34" ht="18.75" x14ac:dyDescent="0.25">
      <c r="A1" s="3" t="s">
        <v>0</v>
      </c>
      <c r="B1" s="3">
        <v>0.1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.75" x14ac:dyDescent="0.25">
      <c r="A2" s="3" t="s">
        <v>1</v>
      </c>
      <c r="B2" s="4">
        <f>B1/30</f>
        <v>3.3333333333333335E-3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75" x14ac:dyDescent="0.25">
      <c r="A3" s="3" t="s">
        <v>2</v>
      </c>
      <c r="B3" s="4">
        <f>(B7*B6*B2^2)/(2*B8)</f>
        <v>0.4333333333333334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75" x14ac:dyDescent="0.25">
      <c r="A4" s="3" t="s">
        <v>3</v>
      </c>
      <c r="B4" s="3">
        <v>60</v>
      </c>
      <c r="C4" s="2">
        <v>60.233333333333341</v>
      </c>
      <c r="D4" s="2"/>
      <c r="E4" s="2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20.25" x14ac:dyDescent="0.25">
      <c r="A6" s="3" t="s">
        <v>7</v>
      </c>
      <c r="B6" s="3">
        <v>460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20.25" x14ac:dyDescent="0.25">
      <c r="A7" s="2" t="s">
        <v>11</v>
      </c>
      <c r="B7" s="3">
        <v>7800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.75" x14ac:dyDescent="0.25">
      <c r="A8" s="3" t="s">
        <v>12</v>
      </c>
      <c r="B8" s="3">
        <v>46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8.7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8.75" x14ac:dyDescent="0.25">
      <c r="A10" s="2"/>
      <c r="B10" s="2"/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</row>
    <row r="11" spans="1:34" ht="18.75" x14ac:dyDescent="0.25">
      <c r="A11" s="2"/>
      <c r="B11" s="2"/>
      <c r="C11" s="2" t="s">
        <v>0</v>
      </c>
      <c r="D11" s="3">
        <v>0</v>
      </c>
      <c r="E11" s="4">
        <f>D11+$B$2</f>
        <v>3.3333333333333335E-3</v>
      </c>
      <c r="F11" s="4">
        <f t="shared" ref="F11:AH11" si="0">E11+$B$2</f>
        <v>6.6666666666666671E-3</v>
      </c>
      <c r="G11" s="4">
        <f t="shared" si="0"/>
        <v>0.01</v>
      </c>
      <c r="H11" s="4">
        <f t="shared" si="0"/>
        <v>1.3333333333333334E-2</v>
      </c>
      <c r="I11" s="4">
        <f t="shared" si="0"/>
        <v>1.6666666666666666E-2</v>
      </c>
      <c r="J11" s="4">
        <f t="shared" si="0"/>
        <v>0.02</v>
      </c>
      <c r="K11" s="4">
        <f t="shared" si="0"/>
        <v>2.3333333333333334E-2</v>
      </c>
      <c r="L11" s="4">
        <f t="shared" si="0"/>
        <v>2.6666666666666668E-2</v>
      </c>
      <c r="M11" s="4">
        <f t="shared" si="0"/>
        <v>3.0000000000000002E-2</v>
      </c>
      <c r="N11" s="4">
        <f t="shared" si="0"/>
        <v>3.3333333333333333E-2</v>
      </c>
      <c r="O11" s="4">
        <f t="shared" si="0"/>
        <v>3.6666666666666667E-2</v>
      </c>
      <c r="P11" s="4">
        <f t="shared" si="0"/>
        <v>0.04</v>
      </c>
      <c r="Q11" s="4">
        <f t="shared" si="0"/>
        <v>4.3333333333333335E-2</v>
      </c>
      <c r="R11" s="4">
        <f t="shared" si="0"/>
        <v>4.6666666666666669E-2</v>
      </c>
      <c r="S11" s="4">
        <f t="shared" si="0"/>
        <v>0.05</v>
      </c>
      <c r="T11" s="4">
        <f t="shared" si="0"/>
        <v>5.3333333333333337E-2</v>
      </c>
      <c r="U11" s="4">
        <f t="shared" si="0"/>
        <v>5.6666666666666671E-2</v>
      </c>
      <c r="V11" s="4">
        <f t="shared" si="0"/>
        <v>6.0000000000000005E-2</v>
      </c>
      <c r="W11" s="4">
        <f t="shared" si="0"/>
        <v>6.3333333333333339E-2</v>
      </c>
      <c r="X11" s="4">
        <f t="shared" si="0"/>
        <v>6.6666666666666666E-2</v>
      </c>
      <c r="Y11" s="4">
        <f t="shared" si="0"/>
        <v>6.9999999999999993E-2</v>
      </c>
      <c r="Z11" s="4">
        <f t="shared" si="0"/>
        <v>7.333333333333332E-2</v>
      </c>
      <c r="AA11" s="4">
        <f t="shared" si="0"/>
        <v>7.6666666666666647E-2</v>
      </c>
      <c r="AB11" s="4">
        <f t="shared" si="0"/>
        <v>7.9999999999999974E-2</v>
      </c>
      <c r="AC11" s="4">
        <f t="shared" si="0"/>
        <v>8.3333333333333301E-2</v>
      </c>
      <c r="AD11" s="4">
        <f t="shared" si="0"/>
        <v>8.6666666666666628E-2</v>
      </c>
      <c r="AE11" s="4">
        <f t="shared" si="0"/>
        <v>8.9999999999999955E-2</v>
      </c>
      <c r="AF11" s="4">
        <f t="shared" si="0"/>
        <v>9.3333333333333282E-2</v>
      </c>
      <c r="AG11" s="4">
        <f t="shared" si="0"/>
        <v>9.6666666666666609E-2</v>
      </c>
      <c r="AH11" s="4">
        <f t="shared" si="0"/>
        <v>9.9999999999999936E-2</v>
      </c>
    </row>
    <row r="12" spans="1:34" ht="18.75" x14ac:dyDescent="0.25">
      <c r="A12" s="2"/>
      <c r="B12" s="2"/>
      <c r="C12" s="2" t="s">
        <v>4</v>
      </c>
      <c r="D12" s="3">
        <f>B16</f>
        <v>300</v>
      </c>
      <c r="E12" s="5">
        <v>280.34602914679897</v>
      </c>
      <c r="F12" s="5">
        <v>260.69205829359794</v>
      </c>
      <c r="G12" s="5">
        <v>241.69187227593491</v>
      </c>
      <c r="H12" s="5">
        <v>222.69168625827183</v>
      </c>
      <c r="I12" s="5">
        <v>204.95390631913148</v>
      </c>
      <c r="J12" s="5">
        <v>187.21612637999107</v>
      </c>
      <c r="K12" s="5">
        <v>171.26453784334268</v>
      </c>
      <c r="L12" s="5">
        <v>155.31294930669429</v>
      </c>
      <c r="M12" s="5">
        <v>141.55671337374599</v>
      </c>
      <c r="N12" s="5">
        <v>127.80047744079765</v>
      </c>
      <c r="O12" s="5">
        <v>116.51671674932982</v>
      </c>
      <c r="P12" s="5">
        <v>105.23295605786197</v>
      </c>
      <c r="Q12" s="5">
        <v>96.561989352755049</v>
      </c>
      <c r="R12" s="5">
        <v>87.891022647648128</v>
      </c>
      <c r="S12" s="5">
        <v>81.842538774051832</v>
      </c>
      <c r="T12" s="5">
        <v>75.794054900455549</v>
      </c>
      <c r="U12" s="5">
        <v>72.261187114604226</v>
      </c>
      <c r="V12" s="5">
        <v>68.728319328752917</v>
      </c>
      <c r="W12" s="5">
        <v>67.506108522455037</v>
      </c>
      <c r="X12" s="5">
        <v>66.283897716157142</v>
      </c>
      <c r="Y12" s="5">
        <v>67.088962026000345</v>
      </c>
      <c r="Z12" s="5">
        <v>67.894026335843549</v>
      </c>
      <c r="AA12" s="5">
        <v>70.383127200086093</v>
      </c>
      <c r="AB12" s="5">
        <v>72.872228064328638</v>
      </c>
      <c r="AC12" s="5">
        <v>76.658491877071754</v>
      </c>
      <c r="AD12" s="5">
        <v>80.444755689814855</v>
      </c>
      <c r="AE12" s="5">
        <v>85.111263870845988</v>
      </c>
      <c r="AF12" s="5">
        <v>89.777772051877108</v>
      </c>
      <c r="AG12" s="5">
        <v>94.888886025938547</v>
      </c>
      <c r="AH12" s="3">
        <f>B17</f>
        <v>100</v>
      </c>
    </row>
    <row r="13" spans="1:34" ht="18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.75" x14ac:dyDescent="0.25">
      <c r="A14" s="2"/>
      <c r="B14" s="2"/>
      <c r="C14" s="2" t="s">
        <v>5</v>
      </c>
      <c r="D14" s="2"/>
      <c r="E14" s="2">
        <f>E12+(($B$8*$B$3)/($B$7*$B$6))*((F12-2*E12+D12)/($B$2^2))</f>
        <v>280.34602914679897</v>
      </c>
      <c r="F14" s="2">
        <f t="shared" ref="F14:AG14" si="1">F12+(($B$8*$B$3)/($B$7*$B$6))*((G12-2*F12+E12)/($B$2^2))</f>
        <v>261.01895071136693</v>
      </c>
      <c r="G14" s="2">
        <f t="shared" si="1"/>
        <v>241.69187227593488</v>
      </c>
      <c r="H14" s="2">
        <f t="shared" si="1"/>
        <v>223.32288929753321</v>
      </c>
      <c r="I14" s="2">
        <f t="shared" si="1"/>
        <v>204.95390631913145</v>
      </c>
      <c r="J14" s="2">
        <f t="shared" si="1"/>
        <v>188.10922208123708</v>
      </c>
      <c r="K14" s="2">
        <f t="shared" si="1"/>
        <v>171.26453784334268</v>
      </c>
      <c r="L14" s="2">
        <f t="shared" si="1"/>
        <v>156.41062560854434</v>
      </c>
      <c r="M14" s="2">
        <f t="shared" si="1"/>
        <v>141.55671337374596</v>
      </c>
      <c r="N14" s="2">
        <f t="shared" si="1"/>
        <v>129.0367150615379</v>
      </c>
      <c r="O14" s="2">
        <f t="shared" si="1"/>
        <v>116.51671674932982</v>
      </c>
      <c r="P14" s="2">
        <f t="shared" si="1"/>
        <v>106.53935305104244</v>
      </c>
      <c r="Q14" s="2">
        <f t="shared" si="1"/>
        <v>96.561989352755049</v>
      </c>
      <c r="R14" s="2">
        <f t="shared" si="1"/>
        <v>89.202264063403447</v>
      </c>
      <c r="S14" s="2">
        <f t="shared" si="1"/>
        <v>81.842538774051832</v>
      </c>
      <c r="T14" s="2">
        <f t="shared" si="1"/>
        <v>77.051862944328036</v>
      </c>
      <c r="U14" s="2">
        <f t="shared" si="1"/>
        <v>72.26118711460424</v>
      </c>
      <c r="V14" s="2">
        <f t="shared" si="1"/>
        <v>69.883647818529624</v>
      </c>
      <c r="W14" s="2">
        <f t="shared" si="1"/>
        <v>67.506108522455037</v>
      </c>
      <c r="X14" s="2">
        <f t="shared" si="1"/>
        <v>67.297535274227698</v>
      </c>
      <c r="Y14" s="2">
        <f t="shared" si="1"/>
        <v>67.088962026000345</v>
      </c>
      <c r="Z14" s="2">
        <f t="shared" si="1"/>
        <v>68.736044613043219</v>
      </c>
      <c r="AA14" s="2">
        <f t="shared" si="1"/>
        <v>70.383127200086093</v>
      </c>
      <c r="AB14" s="2">
        <f t="shared" si="1"/>
        <v>73.520809538578931</v>
      </c>
      <c r="AC14" s="2">
        <f t="shared" si="1"/>
        <v>76.658491877071754</v>
      </c>
      <c r="AD14" s="2">
        <f t="shared" si="1"/>
        <v>80.884877873958871</v>
      </c>
      <c r="AE14" s="2">
        <f t="shared" si="1"/>
        <v>85.111263870845988</v>
      </c>
      <c r="AF14" s="2">
        <f t="shared" si="1"/>
        <v>90.000074948392268</v>
      </c>
      <c r="AG14" s="2">
        <f t="shared" si="1"/>
        <v>94.888886025938547</v>
      </c>
      <c r="AH14" s="2"/>
    </row>
    <row r="15" spans="1:34" ht="18.75" x14ac:dyDescent="0.25">
      <c r="A15" s="2"/>
      <c r="B15" s="2"/>
      <c r="AH15" s="2"/>
    </row>
    <row r="16" spans="1:34" ht="20.25" x14ac:dyDescent="0.25">
      <c r="A16" s="3" t="s">
        <v>8</v>
      </c>
      <c r="B16" s="3">
        <v>300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20.25" x14ac:dyDescent="0.25">
      <c r="A17" s="3" t="s">
        <v>9</v>
      </c>
      <c r="B17" s="3">
        <v>100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20.25" x14ac:dyDescent="0.25">
      <c r="A18" s="3" t="s">
        <v>10</v>
      </c>
      <c r="B18" s="3">
        <v>92000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8.7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8.75" x14ac:dyDescent="0.2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8.7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5773E-48DC-47C5-B56A-D3E1FEF7EEF5}">
  <sheetPr codeName="Лист1"/>
  <dimension ref="A1:AI33"/>
  <sheetViews>
    <sheetView zoomScale="85" zoomScaleNormal="85" workbookViewId="0">
      <selection activeCell="D12" sqref="D12"/>
    </sheetView>
  </sheetViews>
  <sheetFormatPr defaultRowHeight="15" x14ac:dyDescent="0.25"/>
  <cols>
    <col min="2" max="2" width="9.5703125" customWidth="1"/>
    <col min="4" max="35" width="9" style="1" customWidth="1"/>
  </cols>
  <sheetData>
    <row r="1" spans="1:35" ht="18.75" x14ac:dyDescent="0.25">
      <c r="A1" s="3" t="s">
        <v>0</v>
      </c>
      <c r="B1" s="3">
        <v>0.1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ht="18.75" x14ac:dyDescent="0.25">
      <c r="A2" s="3" t="s">
        <v>1</v>
      </c>
      <c r="B2" s="4">
        <f>B1/30</f>
        <v>3.3333333333333335E-3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5" ht="18.75" x14ac:dyDescent="0.25">
      <c r="A3" s="3" t="s">
        <v>2</v>
      </c>
      <c r="B3" s="4">
        <f>(B7*B6*B2^2)/(2*B8)</f>
        <v>0.4333333333333334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ht="18.75" x14ac:dyDescent="0.25">
      <c r="A4" s="3" t="s">
        <v>3</v>
      </c>
      <c r="B4" s="3">
        <v>5000</v>
      </c>
      <c r="C4" s="2">
        <v>5000.2333333333345</v>
      </c>
      <c r="D4" s="2"/>
      <c r="E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ht="20.25" x14ac:dyDescent="0.25">
      <c r="A6" s="3" t="s">
        <v>7</v>
      </c>
      <c r="B6" s="3">
        <v>460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ht="20.25" x14ac:dyDescent="0.25">
      <c r="A7" s="2" t="s">
        <v>11</v>
      </c>
      <c r="B7" s="3">
        <v>7800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ht="18.75" x14ac:dyDescent="0.25">
      <c r="A8" s="3" t="s">
        <v>12</v>
      </c>
      <c r="B8" s="3">
        <v>46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ht="18.7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/>
    </row>
    <row r="10" spans="1:35" ht="18.75" x14ac:dyDescent="0.25">
      <c r="A10" s="2"/>
      <c r="B10" s="2"/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  <c r="AI10"/>
    </row>
    <row r="11" spans="1:35" ht="18.75" x14ac:dyDescent="0.25">
      <c r="A11" s="2"/>
      <c r="B11" s="2"/>
      <c r="C11" s="2" t="s">
        <v>0</v>
      </c>
      <c r="D11" s="3">
        <v>0</v>
      </c>
      <c r="E11" s="4">
        <f>D11+$B$2</f>
        <v>3.3333333333333335E-3</v>
      </c>
      <c r="F11" s="4">
        <f t="shared" ref="F11:AH11" si="0">E11+$B$2</f>
        <v>6.6666666666666671E-3</v>
      </c>
      <c r="G11" s="4">
        <f t="shared" si="0"/>
        <v>0.01</v>
      </c>
      <c r="H11" s="4">
        <f t="shared" si="0"/>
        <v>1.3333333333333334E-2</v>
      </c>
      <c r="I11" s="4">
        <f t="shared" si="0"/>
        <v>1.6666666666666666E-2</v>
      </c>
      <c r="J11" s="4">
        <f t="shared" si="0"/>
        <v>0.02</v>
      </c>
      <c r="K11" s="4">
        <f t="shared" si="0"/>
        <v>2.3333333333333334E-2</v>
      </c>
      <c r="L11" s="4">
        <f t="shared" si="0"/>
        <v>2.6666666666666668E-2</v>
      </c>
      <c r="M11" s="4">
        <f t="shared" si="0"/>
        <v>3.0000000000000002E-2</v>
      </c>
      <c r="N11" s="4">
        <f t="shared" si="0"/>
        <v>3.3333333333333333E-2</v>
      </c>
      <c r="O11" s="4">
        <f t="shared" si="0"/>
        <v>3.6666666666666667E-2</v>
      </c>
      <c r="P11" s="4">
        <f t="shared" si="0"/>
        <v>0.04</v>
      </c>
      <c r="Q11" s="4">
        <f t="shared" si="0"/>
        <v>4.3333333333333335E-2</v>
      </c>
      <c r="R11" s="4">
        <f t="shared" si="0"/>
        <v>4.6666666666666669E-2</v>
      </c>
      <c r="S11" s="4">
        <f t="shared" si="0"/>
        <v>0.05</v>
      </c>
      <c r="T11" s="4">
        <f t="shared" si="0"/>
        <v>5.3333333333333337E-2</v>
      </c>
      <c r="U11" s="4">
        <f t="shared" si="0"/>
        <v>5.6666666666666671E-2</v>
      </c>
      <c r="V11" s="4">
        <f t="shared" si="0"/>
        <v>6.0000000000000005E-2</v>
      </c>
      <c r="W11" s="4">
        <f t="shared" si="0"/>
        <v>6.3333333333333339E-2</v>
      </c>
      <c r="X11" s="4">
        <f t="shared" si="0"/>
        <v>6.6666666666666666E-2</v>
      </c>
      <c r="Y11" s="4">
        <f t="shared" si="0"/>
        <v>6.9999999999999993E-2</v>
      </c>
      <c r="Z11" s="4">
        <f t="shared" si="0"/>
        <v>7.333333333333332E-2</v>
      </c>
      <c r="AA11" s="4">
        <f t="shared" si="0"/>
        <v>7.6666666666666647E-2</v>
      </c>
      <c r="AB11" s="4">
        <f t="shared" si="0"/>
        <v>7.9999999999999974E-2</v>
      </c>
      <c r="AC11" s="4">
        <f t="shared" si="0"/>
        <v>8.3333333333333301E-2</v>
      </c>
      <c r="AD11" s="4">
        <f t="shared" si="0"/>
        <v>8.6666666666666628E-2</v>
      </c>
      <c r="AE11" s="4">
        <f t="shared" si="0"/>
        <v>8.9999999999999955E-2</v>
      </c>
      <c r="AF11" s="4">
        <f t="shared" si="0"/>
        <v>9.3333333333333282E-2</v>
      </c>
      <c r="AG11" s="4">
        <f t="shared" si="0"/>
        <v>9.6666666666666609E-2</v>
      </c>
      <c r="AH11" s="4">
        <f t="shared" si="0"/>
        <v>9.9999999999999936E-2</v>
      </c>
      <c r="AI11"/>
    </row>
    <row r="12" spans="1:35" ht="18.75" x14ac:dyDescent="0.25">
      <c r="A12" s="2"/>
      <c r="B12" s="2"/>
      <c r="C12" s="2" t="s">
        <v>4</v>
      </c>
      <c r="D12" s="3">
        <f>(D15/B8)*B2+E12</f>
        <v>299.99997763108735</v>
      </c>
      <c r="E12" s="5">
        <v>293.33331096442066</v>
      </c>
      <c r="F12" s="5">
        <v>286.6666443611611</v>
      </c>
      <c r="G12" s="5">
        <v>279.99997782112894</v>
      </c>
      <c r="H12" s="5">
        <v>273.33331134396514</v>
      </c>
      <c r="I12" s="5">
        <v>266.66664492913264</v>
      </c>
      <c r="J12" s="5">
        <v>259.99997857591751</v>
      </c>
      <c r="K12" s="5">
        <v>253.3333122834313</v>
      </c>
      <c r="L12" s="5">
        <v>246.66664605061328</v>
      </c>
      <c r="M12" s="5">
        <v>239.99997987623377</v>
      </c>
      <c r="N12" s="5">
        <v>233.33331375889719</v>
      </c>
      <c r="O12" s="5">
        <v>226.66664769704656</v>
      </c>
      <c r="P12" s="5">
        <v>219.9999816889673</v>
      </c>
      <c r="Q12" s="5">
        <v>213.33331573279273</v>
      </c>
      <c r="R12" s="5">
        <v>206.66664982650872</v>
      </c>
      <c r="S12" s="5">
        <v>199.99998396796005</v>
      </c>
      <c r="T12" s="5">
        <v>193.33331815485587</v>
      </c>
      <c r="U12" s="5">
        <v>186.6666523847768</v>
      </c>
      <c r="V12" s="5">
        <v>179.99998665518126</v>
      </c>
      <c r="W12" s="5">
        <v>173.33332096341309</v>
      </c>
      <c r="X12" s="5">
        <v>166.66665530670878</v>
      </c>
      <c r="Y12" s="5">
        <v>159.9999896822055</v>
      </c>
      <c r="Z12" s="5">
        <v>153.33332408694912</v>
      </c>
      <c r="AA12" s="5">
        <v>146.66665851790265</v>
      </c>
      <c r="AB12" s="5">
        <v>139.99999297195473</v>
      </c>
      <c r="AC12" s="5">
        <v>133.33332744592857</v>
      </c>
      <c r="AD12" s="5">
        <v>126.66666193659087</v>
      </c>
      <c r="AE12" s="5">
        <v>119.99999644066111</v>
      </c>
      <c r="AF12" s="5">
        <v>113.3333309548207</v>
      </c>
      <c r="AG12" s="5">
        <v>106.66666547572241</v>
      </c>
      <c r="AH12" s="3">
        <f>B17</f>
        <v>100</v>
      </c>
      <c r="AI12"/>
    </row>
    <row r="13" spans="1:35" ht="18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/>
    </row>
    <row r="14" spans="1:35" ht="18.75" x14ac:dyDescent="0.25">
      <c r="A14" s="2"/>
      <c r="B14" s="2"/>
      <c r="C14" s="2" t="s">
        <v>5</v>
      </c>
      <c r="D14" s="2"/>
      <c r="E14" s="2">
        <f>E12+(($B$8*$B$3)/($B$7*$B$6))*((F12-2*E12+D12)/($B$2^2))</f>
        <v>293.33331099612423</v>
      </c>
      <c r="F14" s="2">
        <f t="shared" ref="F14:AG14" si="1">F12+(($B$8*$B$3)/($B$7*$B$6))*((G12-2*F12+E12)/($B$2^2))</f>
        <v>286.6666443927748</v>
      </c>
      <c r="G14" s="2">
        <f t="shared" si="1"/>
        <v>279.99997785256312</v>
      </c>
      <c r="H14" s="2">
        <f t="shared" si="1"/>
        <v>273.33331137513079</v>
      </c>
      <c r="I14" s="2">
        <f t="shared" si="1"/>
        <v>266.66664495994132</v>
      </c>
      <c r="J14" s="2">
        <f t="shared" si="1"/>
        <v>259.99997860628196</v>
      </c>
      <c r="K14" s="2">
        <f t="shared" si="1"/>
        <v>253.3333123132654</v>
      </c>
      <c r="L14" s="2">
        <f t="shared" si="1"/>
        <v>246.66664607983253</v>
      </c>
      <c r="M14" s="2">
        <f t="shared" si="1"/>
        <v>239.99997990475524</v>
      </c>
      <c r="N14" s="2">
        <f t="shared" si="1"/>
        <v>233.33331378664016</v>
      </c>
      <c r="O14" s="2">
        <f t="shared" si="1"/>
        <v>226.66664772393224</v>
      </c>
      <c r="P14" s="2">
        <f t="shared" si="1"/>
        <v>219.99998171491964</v>
      </c>
      <c r="Q14" s="2">
        <f t="shared" si="1"/>
        <v>213.33331575773801</v>
      </c>
      <c r="R14" s="2">
        <f t="shared" si="1"/>
        <v>206.66664985037639</v>
      </c>
      <c r="S14" s="2">
        <f t="shared" si="1"/>
        <v>199.9999839906823</v>
      </c>
      <c r="T14" s="2">
        <f t="shared" si="1"/>
        <v>193.33331817636844</v>
      </c>
      <c r="U14" s="2">
        <f t="shared" si="1"/>
        <v>186.66665240501857</v>
      </c>
      <c r="V14" s="2">
        <f t="shared" si="1"/>
        <v>179.99998667409494</v>
      </c>
      <c r="W14" s="2">
        <f t="shared" si="1"/>
        <v>173.33332098094502</v>
      </c>
      <c r="X14" s="2">
        <f t="shared" si="1"/>
        <v>166.66665532280928</v>
      </c>
      <c r="Y14" s="2">
        <f t="shared" si="1"/>
        <v>159.99998969682895</v>
      </c>
      <c r="Z14" s="2">
        <f t="shared" si="1"/>
        <v>153.33332410005409</v>
      </c>
      <c r="AA14" s="2">
        <f t="shared" si="1"/>
        <v>146.66665852945192</v>
      </c>
      <c r="AB14" s="2">
        <f t="shared" si="1"/>
        <v>139.99999298191563</v>
      </c>
      <c r="AC14" s="2">
        <f t="shared" si="1"/>
        <v>133.33332745427279</v>
      </c>
      <c r="AD14" s="2">
        <f t="shared" si="1"/>
        <v>126.66666194329484</v>
      </c>
      <c r="AE14" s="2">
        <f t="shared" si="1"/>
        <v>119.99999644570579</v>
      </c>
      <c r="AF14" s="2">
        <f t="shared" si="1"/>
        <v>113.33333095819177</v>
      </c>
      <c r="AG14" s="2">
        <f t="shared" si="1"/>
        <v>106.66666547741035</v>
      </c>
      <c r="AH14" s="2"/>
      <c r="AI14"/>
    </row>
    <row r="15" spans="1:35" ht="18.75" x14ac:dyDescent="0.25">
      <c r="A15" s="2"/>
      <c r="B15" s="2"/>
      <c r="C15" s="2" t="s">
        <v>6</v>
      </c>
      <c r="D15" s="2">
        <f>B18</f>
        <v>92000</v>
      </c>
      <c r="E15" s="2">
        <f>-$B$8*((E12-D12)/$B$2)</f>
        <v>92000.000000000247</v>
      </c>
      <c r="F15" s="2">
        <f t="shared" ref="F15:AG15" si="2">-$B$8*((F12-E12)/$B$2)</f>
        <v>91999.999124981885</v>
      </c>
      <c r="G15" s="2">
        <f t="shared" si="2"/>
        <v>91999.998252443896</v>
      </c>
      <c r="H15" s="2">
        <f t="shared" si="2"/>
        <v>91999.997384860442</v>
      </c>
      <c r="I15" s="2">
        <f t="shared" si="2"/>
        <v>91999.996524688366</v>
      </c>
      <c r="J15" s="2">
        <f t="shared" si="2"/>
        <v>91999.995674368853</v>
      </c>
      <c r="K15" s="2">
        <f t="shared" si="2"/>
        <v>91999.994836309721</v>
      </c>
      <c r="L15" s="2">
        <f t="shared" si="2"/>
        <v>91999.994012888623</v>
      </c>
      <c r="M15" s="2">
        <f t="shared" si="2"/>
        <v>91999.993206437299</v>
      </c>
      <c r="N15" s="2">
        <f t="shared" si="2"/>
        <v>91999.992419244736</v>
      </c>
      <c r="O15" s="2">
        <f t="shared" si="2"/>
        <v>91999.991653538746</v>
      </c>
      <c r="P15" s="2">
        <f t="shared" si="2"/>
        <v>91999.990911493791</v>
      </c>
      <c r="Q15" s="2">
        <f t="shared" si="2"/>
        <v>91999.990195209044</v>
      </c>
      <c r="R15" s="2">
        <f t="shared" si="2"/>
        <v>91999.989506719328</v>
      </c>
      <c r="S15" s="2">
        <f t="shared" si="2"/>
        <v>91999.988847971617</v>
      </c>
      <c r="T15" s="2">
        <f t="shared" si="2"/>
        <v>91999.988220837593</v>
      </c>
      <c r="U15" s="2">
        <f t="shared" si="2"/>
        <v>91999.987627091265</v>
      </c>
      <c r="V15" s="2">
        <f t="shared" si="2"/>
        <v>91999.987068418384</v>
      </c>
      <c r="W15" s="2">
        <f t="shared" si="2"/>
        <v>91999.986546400789</v>
      </c>
      <c r="X15" s="2">
        <f t="shared" si="2"/>
        <v>91999.986062519471</v>
      </c>
      <c r="Y15" s="2">
        <f t="shared" si="2"/>
        <v>91999.985618145278</v>
      </c>
      <c r="Z15" s="2">
        <f t="shared" si="2"/>
        <v>91999.985214537985</v>
      </c>
      <c r="AA15" s="2">
        <f t="shared" si="2"/>
        <v>91999.984852841313</v>
      </c>
      <c r="AB15" s="2">
        <f t="shared" si="2"/>
        <v>91999.984534081304</v>
      </c>
      <c r="AC15" s="2">
        <f t="shared" si="2"/>
        <v>91999.984259160876</v>
      </c>
      <c r="AD15" s="2">
        <f t="shared" si="2"/>
        <v>91999.984028860315</v>
      </c>
      <c r="AE15" s="2">
        <f t="shared" si="2"/>
        <v>91999.98384383072</v>
      </c>
      <c r="AF15" s="2">
        <f t="shared" si="2"/>
        <v>91999.983704597675</v>
      </c>
      <c r="AG15" s="2">
        <f t="shared" si="2"/>
        <v>91999.983611556323</v>
      </c>
      <c r="AH15" s="2"/>
      <c r="AI15" s="2"/>
    </row>
    <row r="16" spans="1:35" ht="18.75" x14ac:dyDescent="0.25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ht="20.25" x14ac:dyDescent="0.25">
      <c r="A17" s="3" t="s">
        <v>9</v>
      </c>
      <c r="B17" s="3">
        <v>100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ht="20.25" x14ac:dyDescent="0.25">
      <c r="A18" s="3" t="s">
        <v>10</v>
      </c>
      <c r="B18" s="3">
        <v>92000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ht="18.7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ht="18.75" x14ac:dyDescent="0.2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ht="18.7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x14ac:dyDescent="0.25">
      <c r="A26" s="1"/>
      <c r="B26" s="1"/>
      <c r="C26" s="1"/>
    </row>
    <row r="27" spans="1:35" x14ac:dyDescent="0.25">
      <c r="A27" s="1"/>
      <c r="B27" s="1"/>
      <c r="C27" s="1"/>
    </row>
    <row r="28" spans="1:35" x14ac:dyDescent="0.25">
      <c r="A28" s="1"/>
      <c r="B28" s="1"/>
      <c r="C28" s="1"/>
    </row>
    <row r="29" spans="1:35" x14ac:dyDescent="0.25">
      <c r="A29" s="1"/>
      <c r="B29" s="1"/>
      <c r="C29" s="1"/>
    </row>
    <row r="30" spans="1:35" x14ac:dyDescent="0.25">
      <c r="A30" s="1"/>
      <c r="B30" s="1"/>
      <c r="C30" s="1"/>
    </row>
    <row r="31" spans="1:35" x14ac:dyDescent="0.25">
      <c r="A31" s="1"/>
      <c r="B31" s="1"/>
      <c r="C31" s="1"/>
    </row>
    <row r="32" spans="1:35" x14ac:dyDescent="0.25">
      <c r="A32" s="1"/>
      <c r="B32" s="1"/>
      <c r="C32" s="1"/>
    </row>
    <row r="33" spans="1:3" x14ac:dyDescent="0.25">
      <c r="A33" s="1"/>
      <c r="B33" s="1"/>
      <c r="C33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CE74D-2642-4BDF-802F-95F98E624999}">
  <sheetPr codeName="Лист3"/>
  <dimension ref="A1:AH39"/>
  <sheetViews>
    <sheetView tabSelected="1" zoomScale="85" zoomScaleNormal="85" workbookViewId="0"/>
  </sheetViews>
  <sheetFormatPr defaultRowHeight="15" x14ac:dyDescent="0.25"/>
  <cols>
    <col min="10" max="10" width="9.140625" customWidth="1"/>
  </cols>
  <sheetData>
    <row r="1" spans="1:34" ht="18.75" x14ac:dyDescent="0.25">
      <c r="A1" s="3" t="s">
        <v>0</v>
      </c>
      <c r="B1" s="3">
        <v>0.3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.75" x14ac:dyDescent="0.25">
      <c r="A2" s="3" t="s">
        <v>1</v>
      </c>
      <c r="B2" s="4">
        <f>B1/30</f>
        <v>0.01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75" x14ac:dyDescent="0.25">
      <c r="A3" s="3" t="s">
        <v>2</v>
      </c>
      <c r="B3" s="4">
        <f>(B7*B6*B2^2)/(2*B8)</f>
        <v>0.43483502538071073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75" x14ac:dyDescent="0.25">
      <c r="A4" s="3" t="s">
        <v>3</v>
      </c>
      <c r="B4" s="3">
        <v>600</v>
      </c>
      <c r="C4" s="2">
        <v>600.07233502538077</v>
      </c>
      <c r="D4" s="2"/>
      <c r="E4" s="2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20.25" x14ac:dyDescent="0.25">
      <c r="A6" s="3" t="s">
        <v>7</v>
      </c>
      <c r="B6" s="3">
        <v>385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20.25" x14ac:dyDescent="0.25">
      <c r="A7" s="2" t="s">
        <v>11</v>
      </c>
      <c r="B7" s="3">
        <v>8900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.75" x14ac:dyDescent="0.25">
      <c r="A8" s="3" t="s">
        <v>12</v>
      </c>
      <c r="B8" s="3">
        <v>394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20.25" x14ac:dyDescent="0.25">
      <c r="A9" s="3" t="s">
        <v>14</v>
      </c>
      <c r="B9" s="3">
        <v>1000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20.25" x14ac:dyDescent="0.25">
      <c r="A10" s="3" t="s">
        <v>15</v>
      </c>
      <c r="B10" s="3">
        <v>500</v>
      </c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</row>
    <row r="11" spans="1:34" ht="22.5" x14ac:dyDescent="0.25">
      <c r="A11" s="3" t="s">
        <v>13</v>
      </c>
      <c r="B11" s="3">
        <v>-30</v>
      </c>
      <c r="C11" s="2" t="s">
        <v>0</v>
      </c>
      <c r="D11" s="3">
        <v>0</v>
      </c>
      <c r="E11" s="4">
        <f>D11+$B$2</f>
        <v>0.01</v>
      </c>
      <c r="F11" s="4">
        <f t="shared" ref="F11:AH11" si="0">E11+$B$2</f>
        <v>0.02</v>
      </c>
      <c r="G11" s="4">
        <f t="shared" si="0"/>
        <v>0.03</v>
      </c>
      <c r="H11" s="4">
        <f t="shared" si="0"/>
        <v>0.04</v>
      </c>
      <c r="I11" s="4">
        <f t="shared" si="0"/>
        <v>0.05</v>
      </c>
      <c r="J11" s="4">
        <f t="shared" si="0"/>
        <v>6.0000000000000005E-2</v>
      </c>
      <c r="K11" s="4">
        <f t="shared" si="0"/>
        <v>7.0000000000000007E-2</v>
      </c>
      <c r="L11" s="4">
        <f t="shared" si="0"/>
        <v>0.08</v>
      </c>
      <c r="M11" s="4">
        <f t="shared" si="0"/>
        <v>0.09</v>
      </c>
      <c r="N11" s="4">
        <f t="shared" si="0"/>
        <v>9.9999999999999992E-2</v>
      </c>
      <c r="O11" s="4">
        <f t="shared" si="0"/>
        <v>0.10999999999999999</v>
      </c>
      <c r="P11" s="4">
        <f t="shared" si="0"/>
        <v>0.11999999999999998</v>
      </c>
      <c r="Q11" s="4">
        <f t="shared" si="0"/>
        <v>0.12999999999999998</v>
      </c>
      <c r="R11" s="4">
        <f t="shared" si="0"/>
        <v>0.13999999999999999</v>
      </c>
      <c r="S11" s="4">
        <f t="shared" si="0"/>
        <v>0.15</v>
      </c>
      <c r="T11" s="4">
        <f t="shared" si="0"/>
        <v>0.16</v>
      </c>
      <c r="U11" s="4">
        <f t="shared" si="0"/>
        <v>0.17</v>
      </c>
      <c r="V11" s="4">
        <f t="shared" si="0"/>
        <v>0.18000000000000002</v>
      </c>
      <c r="W11" s="4">
        <f t="shared" si="0"/>
        <v>0.19000000000000003</v>
      </c>
      <c r="X11" s="4">
        <f t="shared" si="0"/>
        <v>0.20000000000000004</v>
      </c>
      <c r="Y11" s="4">
        <f t="shared" si="0"/>
        <v>0.21000000000000005</v>
      </c>
      <c r="Z11" s="4">
        <f t="shared" si="0"/>
        <v>0.22000000000000006</v>
      </c>
      <c r="AA11" s="4">
        <f t="shared" si="0"/>
        <v>0.23000000000000007</v>
      </c>
      <c r="AB11" s="4">
        <f t="shared" si="0"/>
        <v>0.24000000000000007</v>
      </c>
      <c r="AC11" s="4">
        <f t="shared" si="0"/>
        <v>0.25000000000000006</v>
      </c>
      <c r="AD11" s="4">
        <f t="shared" si="0"/>
        <v>0.26000000000000006</v>
      </c>
      <c r="AE11" s="4">
        <f t="shared" si="0"/>
        <v>0.27000000000000007</v>
      </c>
      <c r="AF11" s="4">
        <f t="shared" si="0"/>
        <v>0.28000000000000008</v>
      </c>
      <c r="AG11" s="4">
        <f t="shared" si="0"/>
        <v>0.29000000000000009</v>
      </c>
      <c r="AH11" s="4">
        <f t="shared" si="0"/>
        <v>0.3000000000000001</v>
      </c>
    </row>
    <row r="12" spans="1:34" ht="22.5" x14ac:dyDescent="0.25">
      <c r="A12" s="3" t="s">
        <v>16</v>
      </c>
      <c r="B12" s="3">
        <v>10</v>
      </c>
      <c r="C12" s="2" t="s">
        <v>4</v>
      </c>
      <c r="D12" s="3">
        <f>1/(B8+B9*B2)*(B8*E12+B9*B2*B11)</f>
        <v>-14.02160111091119</v>
      </c>
      <c r="E12" s="5">
        <v>-13.616057991898783</v>
      </c>
      <c r="F12" s="5">
        <v>-13.220009825549484</v>
      </c>
      <c r="G12" s="5">
        <v>-12.83369048201385</v>
      </c>
      <c r="H12" s="5">
        <v>-12.457333260499031</v>
      </c>
      <c r="I12" s="5">
        <v>-12.091169667310156</v>
      </c>
      <c r="J12" s="5">
        <v>-11.735431177055254</v>
      </c>
      <c r="K12" s="5">
        <v>-11.390346873401906</v>
      </c>
      <c r="L12" s="5">
        <v>-11.056146305662939</v>
      </c>
      <c r="M12" s="5">
        <v>-10.73305610155708</v>
      </c>
      <c r="N12" s="5">
        <v>-10.421303784628664</v>
      </c>
      <c r="O12" s="5">
        <v>-10.121113516357854</v>
      </c>
      <c r="P12" s="5">
        <v>-9.8327106949492062</v>
      </c>
      <c r="Q12" s="5">
        <v>-9.5563170248394229</v>
      </c>
      <c r="R12" s="5">
        <v>-9.2921556808626136</v>
      </c>
      <c r="S12" s="5">
        <v>-9.0404459346491528</v>
      </c>
      <c r="T12" s="5">
        <v>-8.8014086417478143</v>
      </c>
      <c r="U12" s="5">
        <v>-8.5752606751284119</v>
      </c>
      <c r="V12" s="5">
        <v>-8.362220477748437</v>
      </c>
      <c r="W12" s="5">
        <v>-8.1625025623964618</v>
      </c>
      <c r="X12" s="5">
        <v>-7.9763228691392332</v>
      </c>
      <c r="Y12" s="5">
        <v>-7.803893587650542</v>
      </c>
      <c r="Z12" s="5">
        <v>-7.6454280681067601</v>
      </c>
      <c r="AA12" s="5">
        <v>-7.5011362070816441</v>
      </c>
      <c r="AB12" s="5">
        <v>-7.3712286813470609</v>
      </c>
      <c r="AC12" s="5">
        <v>-7.2559131120822196</v>
      </c>
      <c r="AD12" s="5">
        <v>-7.1553974227051889</v>
      </c>
      <c r="AE12" s="5">
        <v>-7.0698869597761123</v>
      </c>
      <c r="AF12" s="5">
        <v>-6.9995868169533981</v>
      </c>
      <c r="AG12" s="5">
        <v>-6.9447000462645416</v>
      </c>
      <c r="AH12" s="3">
        <f>1/(B8-B10*B2)*(B8*AG12+B10*B2*B12)</f>
        <v>-6.9054288386329796</v>
      </c>
    </row>
    <row r="13" spans="1:34" ht="18.75" x14ac:dyDescent="0.25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.75" x14ac:dyDescent="0.25">
      <c r="A14" s="2"/>
      <c r="B14" s="2"/>
      <c r="C14" s="2" t="s">
        <v>5</v>
      </c>
      <c r="D14" s="2"/>
      <c r="E14" s="2">
        <f>E12+(($B$8*$B$3)/($B$7*$B$6))*((F12-2*E12+D12)/($B$2^2))</f>
        <v>-13.620805468230337</v>
      </c>
      <c r="F14" s="2">
        <f t="shared" ref="F14:AG14" si="1">F12+(($B$8*$B$3)/($B$7*$B$6))*((G12-2*F12+E12)/($B$2^2))</f>
        <v>-13.224874236956317</v>
      </c>
      <c r="G14" s="2">
        <f t="shared" si="1"/>
        <v>-12.838671543024258</v>
      </c>
      <c r="H14" s="2">
        <f t="shared" si="1"/>
        <v>-12.462430074662002</v>
      </c>
      <c r="I14" s="2">
        <f t="shared" si="1"/>
        <v>-12.096382218777142</v>
      </c>
      <c r="J14" s="2">
        <f t="shared" si="1"/>
        <v>-11.740758270356032</v>
      </c>
      <c r="K14" s="2">
        <f t="shared" si="1"/>
        <v>-11.395788741359096</v>
      </c>
      <c r="L14" s="2">
        <f t="shared" si="1"/>
        <v>-11.061701487479493</v>
      </c>
      <c r="M14" s="2">
        <f t="shared" si="1"/>
        <v>-10.738725045145802</v>
      </c>
      <c r="N14" s="2">
        <f t="shared" si="1"/>
        <v>-10.427084808957467</v>
      </c>
      <c r="O14" s="2">
        <f t="shared" si="1"/>
        <v>-10.127007239788934</v>
      </c>
      <c r="P14" s="2">
        <f t="shared" si="1"/>
        <v>-9.8387152705986374</v>
      </c>
      <c r="Q14" s="2">
        <f t="shared" si="1"/>
        <v>-9.5624331879059099</v>
      </c>
      <c r="R14" s="2">
        <f t="shared" si="1"/>
        <v>-9.2983814797442879</v>
      </c>
      <c r="S14" s="2">
        <f t="shared" si="1"/>
        <v>-9.0467821613052131</v>
      </c>
      <c r="T14" s="2">
        <f t="shared" si="1"/>
        <v>-8.8078533048887824</v>
      </c>
      <c r="U14" s="2">
        <f t="shared" si="1"/>
        <v>-8.5818145597481248</v>
      </c>
      <c r="V14" s="2">
        <f t="shared" si="1"/>
        <v>-8.3688816187624369</v>
      </c>
      <c r="W14" s="2">
        <f t="shared" si="1"/>
        <v>-8.1692716734438342</v>
      </c>
      <c r="X14" s="2">
        <f t="shared" si="1"/>
        <v>-7.9831980750235019</v>
      </c>
      <c r="Y14" s="2">
        <f t="shared" si="1"/>
        <v>-7.8108754686229966</v>
      </c>
      <c r="Z14" s="2">
        <f t="shared" si="1"/>
        <v>-7.6525148973660926</v>
      </c>
      <c r="AA14" s="2">
        <f t="shared" si="1"/>
        <v>-7.5083283747269105</v>
      </c>
      <c r="AB14" s="2">
        <f t="shared" si="1"/>
        <v>-7.3785246595819318</v>
      </c>
      <c r="AC14" s="2">
        <f t="shared" si="1"/>
        <v>-7.2633130520261249</v>
      </c>
      <c r="AD14" s="2">
        <f t="shared" si="1"/>
        <v>-7.1629000359291659</v>
      </c>
      <c r="AE14" s="2">
        <f t="shared" si="1"/>
        <v>-7.0774921198292935</v>
      </c>
      <c r="AF14" s="2">
        <f t="shared" si="1"/>
        <v>-7.0072935030203265</v>
      </c>
      <c r="AG14" s="2">
        <f t="shared" si="1"/>
        <v>-6.9525078277931893</v>
      </c>
      <c r="AH14" s="2"/>
    </row>
    <row r="15" spans="1:34" ht="18.75" x14ac:dyDescent="0.25">
      <c r="A15" s="2"/>
      <c r="B15" s="2"/>
    </row>
    <row r="16" spans="1:34" ht="18.75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20.25" x14ac:dyDescent="0.25">
      <c r="A17" s="3" t="s">
        <v>8</v>
      </c>
      <c r="B17" s="3">
        <v>50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8.75" x14ac:dyDescent="0.25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8.75" x14ac:dyDescent="0.25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8.75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8.75" x14ac:dyDescent="0.25">
      <c r="A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ht="18.75" x14ac:dyDescent="0.2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  <row r="38" spans="1:34" x14ac:dyDescent="0.25"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x14ac:dyDescent="0.25"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 1</vt:lpstr>
      <vt:lpstr>ГУ 2</vt:lpstr>
      <vt:lpstr>ГУ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Tumanov</dc:creator>
  <cp:lastModifiedBy>Alexander Tumanov</cp:lastModifiedBy>
  <dcterms:created xsi:type="dcterms:W3CDTF">2021-09-17T04:04:57Z</dcterms:created>
  <dcterms:modified xsi:type="dcterms:W3CDTF">2021-10-11T18:53:28Z</dcterms:modified>
</cp:coreProperties>
</file>