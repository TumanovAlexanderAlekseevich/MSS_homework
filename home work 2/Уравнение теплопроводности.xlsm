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278BBD9F-EF02-4291-B15F-EE1D5B49B46D}" xr6:coauthVersionLast="47" xr6:coauthVersionMax="47" xr10:uidLastSave="{00000000-0000-0000-0000-000000000000}"/>
  <bookViews>
    <workbookView xWindow="-120" yWindow="-120" windowWidth="29040" windowHeight="15840" activeTab="2" xr2:uid="{3F025F98-E8FA-463E-B119-B15D64B7F0B2}"/>
  </bookViews>
  <sheets>
    <sheet name="ГУ 1" sheetId="2" r:id="rId1"/>
    <sheet name="ГУ 2" sheetId="1" r:id="rId2"/>
    <sheet name="ГУ 3" sheetId="3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2" i="3" l="1"/>
  <c r="E15" i="1" l="1"/>
  <c r="E14" i="2" l="1"/>
  <c r="AH12" i="1"/>
  <c r="B2" i="3"/>
  <c r="D12" i="3" s="1"/>
  <c r="D12" i="2"/>
  <c r="E11" i="3" l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AH12" i="2"/>
  <c r="B2" i="2"/>
  <c r="J14" i="3" l="1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  <c r="B3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F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<sst xmlns="http://schemas.openxmlformats.org/spreadsheetml/2006/main" count="41" uniqueCount="17">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</sst>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2'!$D$12:$AH$12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'ГУ 3'!$D$12:$AH$12</c:f>
              <c:numCache>
                <c:formatCode>0.00</c:formatCode>
                <c:ptCount val="31"/>
                <c:pt idx="0" formatCode="General">
                  <c:v>-22.253526084708646</c:v>
                </c:pt>
                <c:pt idx="1">
                  <c:v>-22.18667834026197</c:v>
                </c:pt>
                <c:pt idx="2">
                  <c:v>-22.12427413403028</c:v>
                </c:pt>
                <c:pt idx="3">
                  <c:v>-22.066348956101809</c:v>
                </c:pt>
                <c:pt idx="4">
                  <c:v>-22.012935749282835</c:v>
                </c:pt>
                <c:pt idx="5">
                  <c:v>-21.964064890362636</c:v>
                </c:pt>
                <c:pt idx="6">
                  <c:v>-21.919764172837844</c:v>
                </c:pt>
                <c:pt idx="7">
                  <c:v>-21.880058791105903</c:v>
                </c:pt>
                <c:pt idx="8">
                  <c:v>-21.844971326136694</c:v>
                </c:pt>
                <c:pt idx="9">
                  <c:v>-21.814521732630453</c:v>
                </c:pt>
                <c:pt idx="10">
                  <c:v>-21.788727327669214</c:v>
                </c:pt>
                <c:pt idx="11">
                  <c:v>-21.767602780868472</c:v>
                </c:pt>
                <c:pt idx="12">
                  <c:v>-21.751160106034231</c:v>
                </c:pt>
                <c:pt idx="13">
                  <c:v>-21.739408654330749</c:v>
                </c:pt>
                <c:pt idx="14">
                  <c:v>-21.732355108962278</c:v>
                </c:pt>
                <c:pt idx="15">
                  <c:v>-21.730003481372336</c:v>
                </c:pt>
                <c:pt idx="16">
                  <c:v>-21.732355108962278</c:v>
                </c:pt>
                <c:pt idx="17">
                  <c:v>-21.739408654330749</c:v>
                </c:pt>
                <c:pt idx="18">
                  <c:v>-21.751160106034231</c:v>
                </c:pt>
                <c:pt idx="19">
                  <c:v>-21.767602780868472</c:v>
                </c:pt>
                <c:pt idx="20">
                  <c:v>-21.788727327669214</c:v>
                </c:pt>
                <c:pt idx="21">
                  <c:v>-21.814521732630453</c:v>
                </c:pt>
                <c:pt idx="22">
                  <c:v>-21.844971326136694</c:v>
                </c:pt>
                <c:pt idx="23">
                  <c:v>-21.880058791105903</c:v>
                </c:pt>
                <c:pt idx="24">
                  <c:v>-21.919764172837844</c:v>
                </c:pt>
                <c:pt idx="25">
                  <c:v>-21.964064890362636</c:v>
                </c:pt>
                <c:pt idx="26">
                  <c:v>-22.012935749282835</c:v>
                </c:pt>
                <c:pt idx="27">
                  <c:v>-22.066348956101809</c:v>
                </c:pt>
                <c:pt idx="28">
                  <c:v>-22.12427413403028</c:v>
                </c:pt>
                <c:pt idx="29">
                  <c:v>-22.18667834026197</c:v>
                </c:pt>
                <c:pt idx="30" formatCode="General">
                  <c:v>-22.253526084708646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17</xdr:row>
      <xdr:rowOff>254793</xdr:rowOff>
    </xdr:from>
    <xdr:to>
      <xdr:col>11</xdr:col>
      <xdr:colOff>0</xdr:colOff>
      <xdr:row>41</xdr:row>
      <xdr:rowOff>145694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21305" y="4344940"/>
          <a:ext cx="4834989" cy="4843901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54923" y="3575096"/>
          <a:ext cx="4834989" cy="4772183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16</xdr:row>
      <xdr:rowOff>255354</xdr:rowOff>
    </xdr:from>
    <xdr:to>
      <xdr:col>10</xdr:col>
      <xdr:colOff>593912</xdr:colOff>
      <xdr:row>40</xdr:row>
      <xdr:rowOff>10103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0099" y="4222236"/>
          <a:ext cx="4834989" cy="479739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E14" sqref="E14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D12" sqref="D12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299.99997763108735</v>
      </c>
      <c r="E12" s="5">
        <v>293.33331096442066</v>
      </c>
      <c r="F12" s="5">
        <v>286.6666443611611</v>
      </c>
      <c r="G12" s="5">
        <v>279.99997782112894</v>
      </c>
      <c r="H12" s="5">
        <v>273.33331134396514</v>
      </c>
      <c r="I12" s="5">
        <v>266.66664492913264</v>
      </c>
      <c r="J12" s="5">
        <v>259.99997857591751</v>
      </c>
      <c r="K12" s="5">
        <v>253.3333122834313</v>
      </c>
      <c r="L12" s="5">
        <v>246.66664605061328</v>
      </c>
      <c r="M12" s="5">
        <v>239.99997987623377</v>
      </c>
      <c r="N12" s="5">
        <v>233.33331375889719</v>
      </c>
      <c r="O12" s="5">
        <v>226.66664769704656</v>
      </c>
      <c r="P12" s="5">
        <v>219.9999816889673</v>
      </c>
      <c r="Q12" s="5">
        <v>213.33331573279273</v>
      </c>
      <c r="R12" s="5">
        <v>206.66664982650872</v>
      </c>
      <c r="S12" s="5">
        <v>199.99998396796005</v>
      </c>
      <c r="T12" s="5">
        <v>193.33331815485587</v>
      </c>
      <c r="U12" s="5">
        <v>186.6666523847768</v>
      </c>
      <c r="V12" s="5">
        <v>179.99998665518126</v>
      </c>
      <c r="W12" s="5">
        <v>173.33332096341309</v>
      </c>
      <c r="X12" s="5">
        <v>166.66665530670878</v>
      </c>
      <c r="Y12" s="5">
        <v>159.9999896822055</v>
      </c>
      <c r="Z12" s="5">
        <v>153.33332408694912</v>
      </c>
      <c r="AA12" s="5">
        <v>146.66665851790265</v>
      </c>
      <c r="AB12" s="5">
        <v>139.99999297195473</v>
      </c>
      <c r="AC12" s="5">
        <v>133.33332744592857</v>
      </c>
      <c r="AD12" s="5">
        <v>126.66666193659087</v>
      </c>
      <c r="AE12" s="5">
        <v>119.99999644066111</v>
      </c>
      <c r="AF12" s="5">
        <v>113.3333309548207</v>
      </c>
      <c r="AG12" s="5">
        <v>106.66666547572241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293.33331099612423</v>
      </c>
      <c r="F14" s="2">
        <f t="shared" ref="F14:AG14" si="1">F12+(($B$8*$B$3)/($B$7*$B$6))*((G12-2*F12+E12)/($B$2^2))</f>
        <v>286.6666443927748</v>
      </c>
      <c r="G14" s="2">
        <f t="shared" si="1"/>
        <v>279.99997785256312</v>
      </c>
      <c r="H14" s="2">
        <f t="shared" si="1"/>
        <v>273.33331137513079</v>
      </c>
      <c r="I14" s="2">
        <f t="shared" si="1"/>
        <v>266.66664495994132</v>
      </c>
      <c r="J14" s="2">
        <f t="shared" si="1"/>
        <v>259.99997860628196</v>
      </c>
      <c r="K14" s="2">
        <f t="shared" si="1"/>
        <v>253.3333123132654</v>
      </c>
      <c r="L14" s="2">
        <f t="shared" si="1"/>
        <v>246.66664607983253</v>
      </c>
      <c r="M14" s="2">
        <f t="shared" si="1"/>
        <v>239.99997990475524</v>
      </c>
      <c r="N14" s="2">
        <f t="shared" si="1"/>
        <v>233.33331378664016</v>
      </c>
      <c r="O14" s="2">
        <f t="shared" si="1"/>
        <v>226.66664772393224</v>
      </c>
      <c r="P14" s="2">
        <f t="shared" si="1"/>
        <v>219.99998171491964</v>
      </c>
      <c r="Q14" s="2">
        <f t="shared" si="1"/>
        <v>213.33331575773801</v>
      </c>
      <c r="R14" s="2">
        <f t="shared" si="1"/>
        <v>206.66664985037639</v>
      </c>
      <c r="S14" s="2">
        <f t="shared" si="1"/>
        <v>199.9999839906823</v>
      </c>
      <c r="T14" s="2">
        <f t="shared" si="1"/>
        <v>193.33331817636844</v>
      </c>
      <c r="U14" s="2">
        <f t="shared" si="1"/>
        <v>186.66665240501857</v>
      </c>
      <c r="V14" s="2">
        <f t="shared" si="1"/>
        <v>179.99998667409494</v>
      </c>
      <c r="W14" s="2">
        <f t="shared" si="1"/>
        <v>173.33332098094502</v>
      </c>
      <c r="X14" s="2">
        <f t="shared" si="1"/>
        <v>166.66665532280928</v>
      </c>
      <c r="Y14" s="2">
        <f t="shared" si="1"/>
        <v>159.99998969682895</v>
      </c>
      <c r="Z14" s="2">
        <f t="shared" si="1"/>
        <v>153.33332410005409</v>
      </c>
      <c r="AA14" s="2">
        <f t="shared" si="1"/>
        <v>146.66665852945192</v>
      </c>
      <c r="AB14" s="2">
        <f t="shared" si="1"/>
        <v>139.99999298191563</v>
      </c>
      <c r="AC14" s="2">
        <f t="shared" si="1"/>
        <v>133.33332745427279</v>
      </c>
      <c r="AD14" s="2">
        <f t="shared" si="1"/>
        <v>126.66666194329484</v>
      </c>
      <c r="AE14" s="2">
        <f t="shared" si="1"/>
        <v>119.99999644570579</v>
      </c>
      <c r="AF14" s="2">
        <f t="shared" si="1"/>
        <v>113.33333095819177</v>
      </c>
      <c r="AG14" s="2">
        <f t="shared" si="1"/>
        <v>106.66666547741035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 t="shared" ref="F15:AG15" si="2">-$B$8*((F12-E12)/$B$2)</f>
        <v>91999.999124981885</v>
      </c>
      <c r="G15" s="2">
        <f t="shared" si="2"/>
        <v>91999.998252443896</v>
      </c>
      <c r="H15" s="2">
        <f t="shared" si="2"/>
        <v>91999.997384860442</v>
      </c>
      <c r="I15" s="2">
        <f t="shared" si="2"/>
        <v>91999.996524688366</v>
      </c>
      <c r="J15" s="2">
        <f t="shared" si="2"/>
        <v>91999.995674368853</v>
      </c>
      <c r="K15" s="2">
        <f t="shared" si="2"/>
        <v>91999.994836309721</v>
      </c>
      <c r="L15" s="2">
        <f t="shared" si="2"/>
        <v>91999.994012888623</v>
      </c>
      <c r="M15" s="2">
        <f t="shared" si="2"/>
        <v>91999.993206437299</v>
      </c>
      <c r="N15" s="2">
        <f t="shared" si="2"/>
        <v>91999.992419244736</v>
      </c>
      <c r="O15" s="2">
        <f t="shared" si="2"/>
        <v>91999.991653538746</v>
      </c>
      <c r="P15" s="2">
        <f t="shared" si="2"/>
        <v>91999.990911493791</v>
      </c>
      <c r="Q15" s="2">
        <f t="shared" si="2"/>
        <v>91999.990195209044</v>
      </c>
      <c r="R15" s="2">
        <f t="shared" si="2"/>
        <v>91999.989506719328</v>
      </c>
      <c r="S15" s="2">
        <f t="shared" si="2"/>
        <v>91999.988847971617</v>
      </c>
      <c r="T15" s="2">
        <f t="shared" si="2"/>
        <v>91999.988220837593</v>
      </c>
      <c r="U15" s="2">
        <f t="shared" si="2"/>
        <v>91999.987627091265</v>
      </c>
      <c r="V15" s="2">
        <f t="shared" si="2"/>
        <v>91999.987068418384</v>
      </c>
      <c r="W15" s="2">
        <f t="shared" si="2"/>
        <v>91999.986546400789</v>
      </c>
      <c r="X15" s="2">
        <f t="shared" si="2"/>
        <v>91999.986062519471</v>
      </c>
      <c r="Y15" s="2">
        <f t="shared" si="2"/>
        <v>91999.985618145278</v>
      </c>
      <c r="Z15" s="2">
        <f t="shared" si="2"/>
        <v>91999.985214537985</v>
      </c>
      <c r="AA15" s="2">
        <f t="shared" si="2"/>
        <v>91999.984852841313</v>
      </c>
      <c r="AB15" s="2">
        <f t="shared" si="2"/>
        <v>91999.984534081304</v>
      </c>
      <c r="AC15" s="2">
        <f t="shared" si="2"/>
        <v>91999.984259160876</v>
      </c>
      <c r="AD15" s="2">
        <f t="shared" si="2"/>
        <v>91999.984028860315</v>
      </c>
      <c r="AE15" s="2">
        <f t="shared" si="2"/>
        <v>91999.98384383072</v>
      </c>
      <c r="AF15" s="2">
        <f t="shared" si="2"/>
        <v>91999.983704597675</v>
      </c>
      <c r="AG15" s="2">
        <f t="shared" si="2"/>
        <v>91999.983611556323</v>
      </c>
      <c r="AH15" s="2"/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tabSelected="1" zoomScale="85" zoomScaleNormal="85" workbookViewId="0"/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2000</v>
      </c>
      <c r="C4" s="2">
        <v>2000.2411167512694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14</v>
      </c>
      <c r="B9" s="3">
        <v>340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15</v>
      </c>
      <c r="B10" s="3">
        <v>340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13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16</v>
      </c>
      <c r="B12" s="3">
        <v>-30</v>
      </c>
      <c r="C12" s="2" t="s">
        <v>4</v>
      </c>
      <c r="D12" s="3">
        <f>1/(B8+B9*B2)*(B8*E12+B9*B2*B11)</f>
        <v>-22.253526084708646</v>
      </c>
      <c r="E12" s="5">
        <v>-22.18667834026197</v>
      </c>
      <c r="F12" s="5">
        <v>-22.12427413403028</v>
      </c>
      <c r="G12" s="5">
        <v>-22.066348956101809</v>
      </c>
      <c r="H12" s="5">
        <v>-22.012935749282835</v>
      </c>
      <c r="I12" s="5">
        <v>-21.964064890362636</v>
      </c>
      <c r="J12" s="5">
        <v>-21.919764172837844</v>
      </c>
      <c r="K12" s="5">
        <v>-21.880058791105903</v>
      </c>
      <c r="L12" s="5">
        <v>-21.844971326136694</v>
      </c>
      <c r="M12" s="5">
        <v>-21.814521732630453</v>
      </c>
      <c r="N12" s="5">
        <v>-21.788727327669214</v>
      </c>
      <c r="O12" s="5">
        <v>-21.767602780868472</v>
      </c>
      <c r="P12" s="5">
        <v>-21.751160106034231</v>
      </c>
      <c r="Q12" s="5">
        <v>-21.739408654330749</v>
      </c>
      <c r="R12" s="5">
        <v>-21.732355108962278</v>
      </c>
      <c r="S12" s="5">
        <v>-21.730003481372336</v>
      </c>
      <c r="T12" s="5">
        <v>-21.732355108962278</v>
      </c>
      <c r="U12" s="5">
        <v>-21.739408654330749</v>
      </c>
      <c r="V12" s="5">
        <v>-21.751160106034231</v>
      </c>
      <c r="W12" s="5">
        <v>-21.767602780868472</v>
      </c>
      <c r="X12" s="5">
        <v>-21.788727327669214</v>
      </c>
      <c r="Y12" s="5">
        <v>-21.814521732630453</v>
      </c>
      <c r="Z12" s="5">
        <v>-21.844971326136694</v>
      </c>
      <c r="AA12" s="5">
        <v>-21.880058791105903</v>
      </c>
      <c r="AB12" s="5">
        <v>-21.919764172837844</v>
      </c>
      <c r="AC12" s="5">
        <v>-21.964064890362636</v>
      </c>
      <c r="AD12" s="5">
        <v>-22.012935749282835</v>
      </c>
      <c r="AE12" s="5">
        <v>-22.066348956101809</v>
      </c>
      <c r="AF12" s="5">
        <v>-22.12427413403028</v>
      </c>
      <c r="AG12" s="5">
        <v>-22.18667834026197</v>
      </c>
      <c r="AH12" s="3">
        <f>1/(B8+B10*B2)*(B8*AG12+B10*B2*B12)</f>
        <v>-22.253526084708646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-22.188900109369463</v>
      </c>
      <c r="F14" s="2">
        <f t="shared" ref="F14:AG14" si="1">F12+(($B$8*$B$3)/($B$7*$B$6))*((G12-2*F12+E12)/($B$2^2))</f>
        <v>-22.126513648181891</v>
      </c>
      <c r="G14" s="2">
        <f t="shared" si="1"/>
        <v>-22.06860494165656</v>
      </c>
      <c r="H14" s="2">
        <f t="shared" si="1"/>
        <v>-22.015206923232221</v>
      </c>
      <c r="I14" s="2">
        <f t="shared" si="1"/>
        <v>-21.966349961060338</v>
      </c>
      <c r="J14" s="2">
        <f t="shared" si="1"/>
        <v>-21.922061840734269</v>
      </c>
      <c r="K14" s="2">
        <f t="shared" si="1"/>
        <v>-21.882367749487269</v>
      </c>
      <c r="L14" s="2">
        <f t="shared" si="1"/>
        <v>-21.847290261868178</v>
      </c>
      <c r="M14" s="2">
        <f t="shared" si="1"/>
        <v>-21.816849326902954</v>
      </c>
      <c r="N14" s="2">
        <f t="shared" si="1"/>
        <v>-21.791062256749463</v>
      </c>
      <c r="O14" s="2">
        <f t="shared" si="1"/>
        <v>-21.769943716851721</v>
      </c>
      <c r="P14" s="2">
        <f t="shared" si="1"/>
        <v>-21.753505717599609</v>
      </c>
      <c r="Q14" s="2">
        <f t="shared" si="1"/>
        <v>-21.741757607498254</v>
      </c>
      <c r="R14" s="2">
        <f t="shared" si="1"/>
        <v>-21.73470606785154</v>
      </c>
      <c r="S14" s="2">
        <f t="shared" si="1"/>
        <v>-21.732355108962278</v>
      </c>
      <c r="T14" s="2">
        <f t="shared" si="1"/>
        <v>-21.73470606785154</v>
      </c>
      <c r="U14" s="2">
        <f t="shared" si="1"/>
        <v>-21.741757607498254</v>
      </c>
      <c r="V14" s="2">
        <f t="shared" si="1"/>
        <v>-21.753505717599609</v>
      </c>
      <c r="W14" s="2">
        <f t="shared" si="1"/>
        <v>-21.769943716851721</v>
      </c>
      <c r="X14" s="2">
        <f t="shared" si="1"/>
        <v>-21.791062256749463</v>
      </c>
      <c r="Y14" s="2">
        <f t="shared" si="1"/>
        <v>-21.816849326902954</v>
      </c>
      <c r="Z14" s="2">
        <f t="shared" si="1"/>
        <v>-21.847290261868178</v>
      </c>
      <c r="AA14" s="2">
        <f t="shared" si="1"/>
        <v>-21.882367749487269</v>
      </c>
      <c r="AB14" s="2">
        <f t="shared" si="1"/>
        <v>-21.922061840734269</v>
      </c>
      <c r="AC14" s="2">
        <f t="shared" si="1"/>
        <v>-21.966349961060338</v>
      </c>
      <c r="AD14" s="2">
        <f t="shared" si="1"/>
        <v>-22.015206923232221</v>
      </c>
      <c r="AE14" s="2">
        <f t="shared" si="1"/>
        <v>-22.06860494165656</v>
      </c>
      <c r="AF14" s="2">
        <f t="shared" si="1"/>
        <v>-22.126513648181891</v>
      </c>
      <c r="AG14" s="2">
        <f t="shared" si="1"/>
        <v>-22.188900109369463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20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2021-10-11T17:02:32Z</dcterms:modified>
</cp:coreProperties>
</file>