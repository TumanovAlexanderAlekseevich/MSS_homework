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lexa\Desktop\"/>
    </mc:Choice>
  </mc:AlternateContent>
  <xr:revisionPtr revIDLastSave="0" documentId="13_ncr:1_{A09B9B51-4CD6-454E-9848-0C038B2EEACA}" xr6:coauthVersionLast="47" xr6:coauthVersionMax="47" xr10:uidLastSave="{00000000-0000-0000-0000-000000000000}"/>
  <bookViews>
    <workbookView xWindow="-120" yWindow="-120" windowWidth="29040" windowHeight="15840" activeTab="2" xr2:uid="{3F025F98-E8FA-463E-B119-B15D64B7F0B2}"/>
  </bookViews>
  <sheets>
    <sheet name="ГУ 1" sheetId="2" r:id="rId1"/>
    <sheet name="ГУ 2" sheetId="1" r:id="rId2"/>
    <sheet name="ГУ 3" sheetId="3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3" l="1"/>
  <c r="E15" i="1"/>
  <c r="E14" i="3" l="1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H12" i="3"/>
  <c r="AG14" i="3" s="1"/>
  <c r="E14" i="2"/>
  <c r="E11" i="3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H12" i="1"/>
  <c r="B2" i="3"/>
  <c r="D12" i="2"/>
  <c r="B3" i="3" l="1"/>
  <c r="AH12" i="2"/>
  <c r="B2" i="2"/>
  <c r="B3" i="2" l="1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F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<sst xmlns="http://schemas.openxmlformats.org/spreadsheetml/2006/main" count="39" uniqueCount="15">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</sst>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2'!$D$12:$AH$12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'ГУ 3'!$D$12:$AH$12</c:f>
              <c:numCache>
                <c:formatCode>0.00</c:formatCode>
                <c:ptCount val="31"/>
                <c:pt idx="0" formatCode="General">
                  <c:v>-3.3208257714641571</c:v>
                </c:pt>
                <c:pt idx="1">
                  <c:v>-2.6436893697246688</c:v>
                </c:pt>
                <c:pt idx="2">
                  <c:v>-1.9588875347069652</c:v>
                </c:pt>
                <c:pt idx="3">
                  <c:v>-1.2668660146816531</c:v>
                </c:pt>
                <c:pt idx="4">
                  <c:v>-0.56631392678467529</c:v>
                </c:pt>
                <c:pt idx="5">
                  <c:v>0.14109217933025026</c:v>
                </c:pt>
                <c:pt idx="6">
                  <c:v>0.85772846368609179</c:v>
                </c:pt>
                <c:pt idx="7">
                  <c:v>1.5807656756762705</c:v>
                </c:pt>
                <c:pt idx="8">
                  <c:v>2.3135393062235052</c:v>
                </c:pt>
                <c:pt idx="9">
                  <c:v>3.0521956015091205</c:v>
                </c:pt>
                <c:pt idx="10">
                  <c:v>3.800878128562454</c:v>
                </c:pt>
                <c:pt idx="11">
                  <c:v>4.554881141567888</c:v>
                </c:pt>
                <c:pt idx="12">
                  <c:v>5.3189665762531462</c:v>
                </c:pt>
                <c:pt idx="13">
                  <c:v>6.087785772285546</c:v>
                </c:pt>
                <c:pt idx="14">
                  <c:v>6.8664995040299805</c:v>
                </c:pt>
                <c:pt idx="15">
                  <c:v>7.6493524768447294</c:v>
                </c:pt>
                <c:pt idx="16">
                  <c:v>8.4416649624679643</c:v>
                </c:pt>
                <c:pt idx="17">
                  <c:v>9.2375279542138671</c:v>
                </c:pt>
                <c:pt idx="18">
                  <c:v>10.042173005901212</c:v>
                </c:pt>
                <c:pt idx="19">
                  <c:v>10.849795678062218</c:v>
                </c:pt>
                <c:pt idx="20">
                  <c:v>11.66529308203086</c:v>
                </c:pt>
                <c:pt idx="21">
                  <c:v>12.483217477659338</c:v>
                </c:pt>
                <c:pt idx="22">
                  <c:v>13.307899574545297</c:v>
                </c:pt>
                <c:pt idx="23">
                  <c:v>14.134483108867403</c:v>
                </c:pt>
                <c:pt idx="24">
                  <c:v>14.966524865253135</c:v>
                </c:pt>
                <c:pt idx="25">
                  <c:v>15.799967068717129</c:v>
                </c:pt>
                <c:pt idx="26">
                  <c:v>16.637419072285418</c:v>
                </c:pt>
                <c:pt idx="27">
                  <c:v>17.475791693717312</c:v>
                </c:pt>
                <c:pt idx="28">
                  <c:v>18.316615418263453</c:v>
                </c:pt>
                <c:pt idx="29">
                  <c:v>19.157895383112162</c:v>
                </c:pt>
                <c:pt idx="30" formatCode="General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17</xdr:row>
      <xdr:rowOff>254793</xdr:rowOff>
    </xdr:from>
    <xdr:to>
      <xdr:col>11</xdr:col>
      <xdr:colOff>0</xdr:colOff>
      <xdr:row>41</xdr:row>
      <xdr:rowOff>145694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21305" y="4344940"/>
          <a:ext cx="4834989" cy="4843901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54923" y="3575096"/>
          <a:ext cx="4834989" cy="4772183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16</xdr:row>
      <xdr:rowOff>255354</xdr:rowOff>
    </xdr:from>
    <xdr:to>
      <xdr:col>10</xdr:col>
      <xdr:colOff>593912</xdr:colOff>
      <xdr:row>40</xdr:row>
      <xdr:rowOff>10103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0099" y="4143795"/>
          <a:ext cx="4834989" cy="479739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E14" sqref="E14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D12" sqref="D12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299.99997763108735</v>
      </c>
      <c r="E12" s="5">
        <v>293.33331096442066</v>
      </c>
      <c r="F12" s="5">
        <v>286.6666443611611</v>
      </c>
      <c r="G12" s="5">
        <v>279.99997782112894</v>
      </c>
      <c r="H12" s="5">
        <v>273.33331134396514</v>
      </c>
      <c r="I12" s="5">
        <v>266.66664492913264</v>
      </c>
      <c r="J12" s="5">
        <v>259.99997857591751</v>
      </c>
      <c r="K12" s="5">
        <v>253.3333122834313</v>
      </c>
      <c r="L12" s="5">
        <v>246.66664605061328</v>
      </c>
      <c r="M12" s="5">
        <v>239.99997987623377</v>
      </c>
      <c r="N12" s="5">
        <v>233.33331375889719</v>
      </c>
      <c r="O12" s="5">
        <v>226.66664769704656</v>
      </c>
      <c r="P12" s="5">
        <v>219.9999816889673</v>
      </c>
      <c r="Q12" s="5">
        <v>213.33331573279273</v>
      </c>
      <c r="R12" s="5">
        <v>206.66664982650872</v>
      </c>
      <c r="S12" s="5">
        <v>199.99998396796005</v>
      </c>
      <c r="T12" s="5">
        <v>193.33331815485587</v>
      </c>
      <c r="U12" s="5">
        <v>186.6666523847768</v>
      </c>
      <c r="V12" s="5">
        <v>179.99998665518126</v>
      </c>
      <c r="W12" s="5">
        <v>173.33332096341309</v>
      </c>
      <c r="X12" s="5">
        <v>166.66665530670878</v>
      </c>
      <c r="Y12" s="5">
        <v>159.9999896822055</v>
      </c>
      <c r="Z12" s="5">
        <v>153.33332408694912</v>
      </c>
      <c r="AA12" s="5">
        <v>146.66665851790265</v>
      </c>
      <c r="AB12" s="5">
        <v>139.99999297195473</v>
      </c>
      <c r="AC12" s="5">
        <v>133.33332744592857</v>
      </c>
      <c r="AD12" s="5">
        <v>126.66666193659087</v>
      </c>
      <c r="AE12" s="5">
        <v>119.99999644066111</v>
      </c>
      <c r="AF12" s="5">
        <v>113.3333309548207</v>
      </c>
      <c r="AG12" s="5">
        <v>106.66666547572241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293.33331099612423</v>
      </c>
      <c r="F14" s="2">
        <f t="shared" ref="F14:AG14" si="1">F12+(($B$8*$B$3)/($B$7*$B$6))*((G12-2*F12+E12)/($B$2^2))</f>
        <v>286.6666443927748</v>
      </c>
      <c r="G14" s="2">
        <f t="shared" si="1"/>
        <v>279.99997785256312</v>
      </c>
      <c r="H14" s="2">
        <f t="shared" si="1"/>
        <v>273.33331137513079</v>
      </c>
      <c r="I14" s="2">
        <f t="shared" si="1"/>
        <v>266.66664495994132</v>
      </c>
      <c r="J14" s="2">
        <f t="shared" si="1"/>
        <v>259.99997860628196</v>
      </c>
      <c r="K14" s="2">
        <f t="shared" si="1"/>
        <v>253.3333123132654</v>
      </c>
      <c r="L14" s="2">
        <f t="shared" si="1"/>
        <v>246.66664607983253</v>
      </c>
      <c r="M14" s="2">
        <f t="shared" si="1"/>
        <v>239.99997990475524</v>
      </c>
      <c r="N14" s="2">
        <f t="shared" si="1"/>
        <v>233.33331378664016</v>
      </c>
      <c r="O14" s="2">
        <f t="shared" si="1"/>
        <v>226.66664772393224</v>
      </c>
      <c r="P14" s="2">
        <f t="shared" si="1"/>
        <v>219.99998171491964</v>
      </c>
      <c r="Q14" s="2">
        <f t="shared" si="1"/>
        <v>213.33331575773801</v>
      </c>
      <c r="R14" s="2">
        <f t="shared" si="1"/>
        <v>206.66664985037639</v>
      </c>
      <c r="S14" s="2">
        <f t="shared" si="1"/>
        <v>199.9999839906823</v>
      </c>
      <c r="T14" s="2">
        <f t="shared" si="1"/>
        <v>193.33331817636844</v>
      </c>
      <c r="U14" s="2">
        <f t="shared" si="1"/>
        <v>186.66665240501857</v>
      </c>
      <c r="V14" s="2">
        <f t="shared" si="1"/>
        <v>179.99998667409494</v>
      </c>
      <c r="W14" s="2">
        <f t="shared" si="1"/>
        <v>173.33332098094502</v>
      </c>
      <c r="X14" s="2">
        <f t="shared" si="1"/>
        <v>166.66665532280928</v>
      </c>
      <c r="Y14" s="2">
        <f t="shared" si="1"/>
        <v>159.99998969682895</v>
      </c>
      <c r="Z14" s="2">
        <f t="shared" si="1"/>
        <v>153.33332410005409</v>
      </c>
      <c r="AA14" s="2">
        <f t="shared" si="1"/>
        <v>146.66665852945192</v>
      </c>
      <c r="AB14" s="2">
        <f t="shared" si="1"/>
        <v>139.99999298191563</v>
      </c>
      <c r="AC14" s="2">
        <f t="shared" si="1"/>
        <v>133.33332745427279</v>
      </c>
      <c r="AD14" s="2">
        <f t="shared" si="1"/>
        <v>126.66666194329484</v>
      </c>
      <c r="AE14" s="2">
        <f t="shared" si="1"/>
        <v>119.99999644570579</v>
      </c>
      <c r="AF14" s="2">
        <f t="shared" si="1"/>
        <v>113.33333095819177</v>
      </c>
      <c r="AG14" s="2">
        <f t="shared" si="1"/>
        <v>106.66666547741035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 t="shared" ref="F15:AG15" si="2">-$B$8*((F12-E12)/$B$2)</f>
        <v>91999.999124981885</v>
      </c>
      <c r="G15" s="2">
        <f t="shared" si="2"/>
        <v>91999.998252443896</v>
      </c>
      <c r="H15" s="2">
        <f t="shared" si="2"/>
        <v>91999.997384860442</v>
      </c>
      <c r="I15" s="2">
        <f t="shared" si="2"/>
        <v>91999.996524688366</v>
      </c>
      <c r="J15" s="2">
        <f t="shared" si="2"/>
        <v>91999.995674368853</v>
      </c>
      <c r="K15" s="2">
        <f t="shared" si="2"/>
        <v>91999.994836309721</v>
      </c>
      <c r="L15" s="2">
        <f t="shared" si="2"/>
        <v>91999.994012888623</v>
      </c>
      <c r="M15" s="2">
        <f t="shared" si="2"/>
        <v>91999.993206437299</v>
      </c>
      <c r="N15" s="2">
        <f t="shared" si="2"/>
        <v>91999.992419244736</v>
      </c>
      <c r="O15" s="2">
        <f t="shared" si="2"/>
        <v>91999.991653538746</v>
      </c>
      <c r="P15" s="2">
        <f t="shared" si="2"/>
        <v>91999.990911493791</v>
      </c>
      <c r="Q15" s="2">
        <f t="shared" si="2"/>
        <v>91999.990195209044</v>
      </c>
      <c r="R15" s="2">
        <f t="shared" si="2"/>
        <v>91999.989506719328</v>
      </c>
      <c r="S15" s="2">
        <f t="shared" si="2"/>
        <v>91999.988847971617</v>
      </c>
      <c r="T15" s="2">
        <f t="shared" si="2"/>
        <v>91999.988220837593</v>
      </c>
      <c r="U15" s="2">
        <f t="shared" si="2"/>
        <v>91999.987627091265</v>
      </c>
      <c r="V15" s="2">
        <f t="shared" si="2"/>
        <v>91999.987068418384</v>
      </c>
      <c r="W15" s="2">
        <f t="shared" si="2"/>
        <v>91999.986546400789</v>
      </c>
      <c r="X15" s="2">
        <f t="shared" si="2"/>
        <v>91999.986062519471</v>
      </c>
      <c r="Y15" s="2">
        <f t="shared" si="2"/>
        <v>91999.985618145278</v>
      </c>
      <c r="Z15" s="2">
        <f t="shared" si="2"/>
        <v>91999.985214537985</v>
      </c>
      <c r="AA15" s="2">
        <f t="shared" si="2"/>
        <v>91999.984852841313</v>
      </c>
      <c r="AB15" s="2">
        <f t="shared" si="2"/>
        <v>91999.984534081304</v>
      </c>
      <c r="AC15" s="2">
        <f t="shared" si="2"/>
        <v>91999.984259160876</v>
      </c>
      <c r="AD15" s="2">
        <f t="shared" si="2"/>
        <v>91999.984028860315</v>
      </c>
      <c r="AE15" s="2">
        <f t="shared" si="2"/>
        <v>91999.98384383072</v>
      </c>
      <c r="AF15" s="2">
        <f t="shared" si="2"/>
        <v>91999.983704597675</v>
      </c>
      <c r="AG15" s="2">
        <f t="shared" si="2"/>
        <v>91999.983611556323</v>
      </c>
      <c r="AH15" s="2"/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tabSelected="1" zoomScale="85" zoomScaleNormal="85" workbookViewId="0"/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300</v>
      </c>
      <c r="C4" s="2">
        <v>300.03616751269038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14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2.5" x14ac:dyDescent="0.25">
      <c r="A10" s="3" t="s">
        <v>13</v>
      </c>
      <c r="B10" s="3">
        <v>-30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18.75" x14ac:dyDescent="0.25">
      <c r="C12" s="2" t="s">
        <v>4</v>
      </c>
      <c r="D12" s="3">
        <f>1/(B8+B9*B2)*(B8*E12+B9*B2*B10)</f>
        <v>-3.3208257714641571</v>
      </c>
      <c r="E12" s="5">
        <v>-2.6436893697246688</v>
      </c>
      <c r="F12" s="5">
        <v>-1.9588875347069652</v>
      </c>
      <c r="G12" s="5">
        <v>-1.2668660146816531</v>
      </c>
      <c r="H12" s="5">
        <v>-0.56631392678467529</v>
      </c>
      <c r="I12" s="5">
        <v>0.14109217933025026</v>
      </c>
      <c r="J12" s="5">
        <v>0.85772846368609179</v>
      </c>
      <c r="K12" s="5">
        <v>1.5807656756762705</v>
      </c>
      <c r="L12" s="5">
        <v>2.3135393062235052</v>
      </c>
      <c r="M12" s="5">
        <v>3.0521956015091205</v>
      </c>
      <c r="N12" s="5">
        <v>3.800878128562454</v>
      </c>
      <c r="O12" s="5">
        <v>4.554881141567888</v>
      </c>
      <c r="P12" s="5">
        <v>5.3189665762531462</v>
      </c>
      <c r="Q12" s="5">
        <v>6.087785772285546</v>
      </c>
      <c r="R12" s="5">
        <v>6.8664995040299805</v>
      </c>
      <c r="S12" s="5">
        <v>7.6493524768447294</v>
      </c>
      <c r="T12" s="5">
        <v>8.4416649624679643</v>
      </c>
      <c r="U12" s="5">
        <v>9.2375279542138671</v>
      </c>
      <c r="V12" s="5">
        <v>10.042173005901212</v>
      </c>
      <c r="W12" s="5">
        <v>10.849795678062218</v>
      </c>
      <c r="X12" s="5">
        <v>11.66529308203086</v>
      </c>
      <c r="Y12" s="5">
        <v>12.483217477659338</v>
      </c>
      <c r="Z12" s="5">
        <v>13.307899574545297</v>
      </c>
      <c r="AA12" s="5">
        <v>14.134483108867403</v>
      </c>
      <c r="AB12" s="5">
        <v>14.966524865253135</v>
      </c>
      <c r="AC12" s="5">
        <v>15.799967068717129</v>
      </c>
      <c r="AD12" s="5">
        <v>16.637419072285418</v>
      </c>
      <c r="AE12" s="5">
        <v>17.475791693717312</v>
      </c>
      <c r="AF12" s="5">
        <v>18.316615418263453</v>
      </c>
      <c r="AG12" s="5">
        <v>19.157895383112162</v>
      </c>
      <c r="AH12" s="3">
        <f>B17</f>
        <v>20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-2.6398566530855612</v>
      </c>
      <c r="F14" s="2">
        <f t="shared" ref="F14:AG14" si="1">F12+(($B$8*$B$3)/($B$7*$B$6))*((G12-2*F12+E12)/($B$2^2))</f>
        <v>-1.9552776922031609</v>
      </c>
      <c r="G14" s="2">
        <f t="shared" si="1"/>
        <v>-1.2626007307458202</v>
      </c>
      <c r="H14" s="2">
        <f t="shared" si="1"/>
        <v>-0.56288691767570143</v>
      </c>
      <c r="I14" s="2">
        <f t="shared" si="1"/>
        <v>0.14570726845070825</v>
      </c>
      <c r="J14" s="2">
        <f t="shared" si="1"/>
        <v>0.86092892750326033</v>
      </c>
      <c r="K14" s="2">
        <f t="shared" si="1"/>
        <v>1.5856338849547984</v>
      </c>
      <c r="L14" s="2">
        <f t="shared" si="1"/>
        <v>2.3164806385926955</v>
      </c>
      <c r="M14" s="2">
        <f t="shared" si="1"/>
        <v>3.0572087173929798</v>
      </c>
      <c r="N14" s="2">
        <f t="shared" si="1"/>
        <v>3.8035383715385045</v>
      </c>
      <c r="O14" s="2">
        <f t="shared" si="1"/>
        <v>4.5599223524078001</v>
      </c>
      <c r="P14" s="2">
        <f t="shared" si="1"/>
        <v>5.321333456926717</v>
      </c>
      <c r="Q14" s="2">
        <f t="shared" si="1"/>
        <v>6.0927330401415638</v>
      </c>
      <c r="R14" s="2">
        <f t="shared" si="1"/>
        <v>6.8685691245651377</v>
      </c>
      <c r="S14" s="2">
        <f t="shared" si="1"/>
        <v>7.6540822332489729</v>
      </c>
      <c r="T14" s="2">
        <f t="shared" si="1"/>
        <v>8.4434402155292982</v>
      </c>
      <c r="U14" s="2">
        <f t="shared" si="1"/>
        <v>9.2419189841845881</v>
      </c>
      <c r="V14" s="2">
        <f t="shared" si="1"/>
        <v>10.043661816138043</v>
      </c>
      <c r="W14" s="2">
        <f t="shared" si="1"/>
        <v>10.853733043966036</v>
      </c>
      <c r="X14" s="2">
        <f t="shared" si="1"/>
        <v>11.666506577860778</v>
      </c>
      <c r="Y14" s="2">
        <f t="shared" si="1"/>
        <v>12.48659632828808</v>
      </c>
      <c r="Z14" s="2">
        <f t="shared" si="1"/>
        <v>13.308850293263371</v>
      </c>
      <c r="AA14" s="2">
        <f t="shared" si="1"/>
        <v>14.137212219899215</v>
      </c>
      <c r="AB14" s="2">
        <f t="shared" si="1"/>
        <v>14.967225088792265</v>
      </c>
      <c r="AC14" s="2">
        <f t="shared" si="1"/>
        <v>15.801971968769276</v>
      </c>
      <c r="AD14" s="2">
        <f t="shared" si="1"/>
        <v>16.637879381217221</v>
      </c>
      <c r="AE14" s="2">
        <f t="shared" si="1"/>
        <v>17.477017245274435</v>
      </c>
      <c r="AF14" s="2">
        <f t="shared" si="1"/>
        <v>18.316843538414737</v>
      </c>
      <c r="AG14" s="2">
        <f t="shared" si="1"/>
        <v>19.158307709131726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20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2021-10-11T13:52:25Z</dcterms:modified>
</cp:coreProperties>
</file>